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obsat.sharepoint.com/sites/ServiceDeskCCCS/Shared Documents/Knowledge Base Folders/Marlink MSP/Boskalis/"/>
    </mc:Choice>
  </mc:AlternateContent>
  <xr:revisionPtr revIDLastSave="20" documentId="8_{808F1FC0-C7A9-4B1C-9884-144F99254A3C}" xr6:coauthVersionLast="47" xr6:coauthVersionMax="47" xr10:uidLastSave="{146FF230-2BB6-41FD-BD5E-02DE8B61D3A1}"/>
  <bookViews>
    <workbookView xWindow="-108" yWindow="-108" windowWidth="23256" windowHeight="12456" xr2:uid="{64D5D0FC-C467-4AC4-AA8F-435F7E4596E0}"/>
  </bookViews>
  <sheets>
    <sheet name="Access request form" sheetId="1" r:id="rId1"/>
    <sheet name="Vessels" sheetId="2" state="hidden" r:id="rId2"/>
    <sheet name="Lists" sheetId="3" state="hidden" r:id="rId3"/>
  </sheets>
  <definedNames>
    <definedName name="Action">'Access request form'!$E$13</definedName>
    <definedName name="Actions">Lists!$A$2:$A$7</definedName>
    <definedName name="DateOfBirth">'Access request form'!$E$11</definedName>
    <definedName name="Firstname">'Access request form'!$E$8</definedName>
    <definedName name="Lastname">'Access request form'!$E$9</definedName>
    <definedName name="Mannumber">'Access request form'!$E$10</definedName>
    <definedName name="Roles">Lists!$C$3:$C$27</definedName>
    <definedName name="Roles2">Lists!$C$3:$D$27</definedName>
    <definedName name="Username">'Access request form'!$E$4</definedName>
    <definedName name="Vessels">Vessels!$K$2:$K$100</definedName>
    <definedName name="Vessels_Marlink">Vessels!$J$1:$K$100</definedName>
    <definedName name="Vessels2">Vessels!$G$3:$H$166</definedName>
    <definedName name="VesselsDomain">Vessels!$R$2:$S$82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9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2" i="2"/>
  <c r="A15" i="1"/>
  <c r="A17" i="1"/>
  <c r="E15" i="1" a="1"/>
  <c r="E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<sst xmlns="http://schemas.openxmlformats.org/spreadsheetml/2006/main" count="1200" uniqueCount="797">
  <si>
    <t>Request Access Form v.7.0 (August 2023)</t>
  </si>
  <si>
    <t>Please note that incorrect and or incomplete information will cause delays on the request</t>
  </si>
  <si>
    <t>Requester (Your Name)</t>
  </si>
  <si>
    <t>Application</t>
  </si>
  <si>
    <t>Who are you requesting it for?</t>
  </si>
  <si>
    <t>First name</t>
  </si>
  <si>
    <t>Last name</t>
  </si>
  <si>
    <t>Man number</t>
  </si>
  <si>
    <t>Date of birth (mm/dd/yyyy)</t>
  </si>
  <si>
    <t>What do you want to request?</t>
  </si>
  <si>
    <t>New user</t>
  </si>
  <si>
    <t>Additional remarks</t>
  </si>
  <si>
    <t>If you are ready with filling out this form, use the button to send it or e-mail this to: maximorequest@boskalis.com</t>
  </si>
  <si>
    <t>siteid</t>
  </si>
  <si>
    <t>description</t>
  </si>
  <si>
    <t>Groupname</t>
  </si>
  <si>
    <t>Description</t>
  </si>
  <si>
    <t xml:space="preserve">Computer Name </t>
  </si>
  <si>
    <t xml:space="preserve">Vessel Name </t>
  </si>
  <si>
    <t>Computer Type</t>
  </si>
  <si>
    <t>Uptime</t>
  </si>
  <si>
    <t>IP Address</t>
  </si>
  <si>
    <t>Maximo number</t>
  </si>
  <si>
    <t>DOMAIN</t>
  </si>
  <si>
    <t>VesselName</t>
  </si>
  <si>
    <t>Central</t>
  </si>
  <si>
    <t>9524516SRV1</t>
  </si>
  <si>
    <t>Aquamarine</t>
  </si>
  <si>
    <t xml:space="preserve"> ITLink Server</t>
  </si>
  <si>
    <t>20d 2h 16m 45s</t>
  </si>
  <si>
    <t>172.26.208.10</t>
  </si>
  <si>
    <t>9524516d</t>
  </si>
  <si>
    <t>Terraferre 501</t>
  </si>
  <si>
    <t>AF-02</t>
  </si>
  <si>
    <t>9660396SRV1</t>
  </si>
  <si>
    <t>Asian Hercules 3</t>
  </si>
  <si>
    <t>351d 10h 52m 16s</t>
  </si>
  <si>
    <t>172.27.72.10</t>
  </si>
  <si>
    <t>9660396d</t>
  </si>
  <si>
    <t>Terraferre 502</t>
  </si>
  <si>
    <t>Alex</t>
  </si>
  <si>
    <t>IMO30043SRV1</t>
  </si>
  <si>
    <t>Baldur</t>
  </si>
  <si>
    <t>3d 0h 43m 36s</t>
  </si>
  <si>
    <t>172.25.16.10</t>
  </si>
  <si>
    <t>IMO30043d</t>
  </si>
  <si>
    <t>Terraferre 301</t>
  </si>
  <si>
    <t>Alma</t>
  </si>
  <si>
    <t>9524140SRV1</t>
  </si>
  <si>
    <t>Beachway</t>
  </si>
  <si>
    <t>200d 2h 34m 32s</t>
  </si>
  <si>
    <t>172.25.112.10</t>
  </si>
  <si>
    <t>9524140d</t>
  </si>
  <si>
    <t>Terraferre 302</t>
  </si>
  <si>
    <t>Amstel</t>
  </si>
  <si>
    <t>9185932SRV1</t>
  </si>
  <si>
    <t>Bear</t>
  </si>
  <si>
    <t>379d 19h 52m 8s</t>
  </si>
  <si>
    <t>172.26.20.10</t>
  </si>
  <si>
    <t>9185932d</t>
  </si>
  <si>
    <t>Terraferre 701</t>
  </si>
  <si>
    <t>Annie 1</t>
  </si>
  <si>
    <t>9190339SRV1</t>
  </si>
  <si>
    <t>BKM 102</t>
  </si>
  <si>
    <t>8d 15h 10m 17s</t>
  </si>
  <si>
    <t>172.28.124.10</t>
  </si>
  <si>
    <t>9190339d</t>
  </si>
  <si>
    <t>Terraferra 702</t>
  </si>
  <si>
    <t>Aquamarine (prev. Harrier)</t>
  </si>
  <si>
    <t>9190341SRV1</t>
  </si>
  <si>
    <t>BKM 103</t>
  </si>
  <si>
    <t>96d 14h 37m 22s</t>
  </si>
  <si>
    <t>172.28.128.10</t>
  </si>
  <si>
    <t>9190341d</t>
  </si>
  <si>
    <t>Henares</t>
  </si>
  <si>
    <t>Argonaut</t>
  </si>
  <si>
    <t>9556935SRV1</t>
  </si>
  <si>
    <t>BKM 104</t>
  </si>
  <si>
    <t>0d 15h 38m 36s</t>
  </si>
  <si>
    <t>172.28.132.10</t>
  </si>
  <si>
    <t>9556935d</t>
  </si>
  <si>
    <t>Avon</t>
  </si>
  <si>
    <t>Argus I</t>
  </si>
  <si>
    <t>BLUEPRINTSRV1</t>
  </si>
  <si>
    <t>BluePrint</t>
  </si>
  <si>
    <t>0d 0h 56m 14s</t>
  </si>
  <si>
    <t>172.26.212.10</t>
  </si>
  <si>
    <t>BluePrintd</t>
  </si>
  <si>
    <t>3d 7h 45m 32s</t>
  </si>
  <si>
    <t>9344784d</t>
  </si>
  <si>
    <t>Boka Alpine</t>
  </si>
  <si>
    <t>WD Mersey</t>
  </si>
  <si>
    <t>Attila</t>
  </si>
  <si>
    <t>9344784SRV1</t>
  </si>
  <si>
    <t>41d 11h 33m 14s</t>
  </si>
  <si>
    <t>172.16.6.10</t>
  </si>
  <si>
    <t>9545675d</t>
  </si>
  <si>
    <t>Boka Atlantic</t>
  </si>
  <si>
    <t>Cornelia</t>
  </si>
  <si>
    <t>9545675SRV1</t>
  </si>
  <si>
    <t>97d 21h 21m 36s</t>
  </si>
  <si>
    <t>172.28.160.10</t>
  </si>
  <si>
    <t>9441221d</t>
  </si>
  <si>
    <t>Boka Atlantis</t>
  </si>
  <si>
    <t>Flevo</t>
  </si>
  <si>
    <t>Barent Zanen</t>
  </si>
  <si>
    <t>9441221SRV1</t>
  </si>
  <si>
    <t>15d 9h 30m 30s</t>
  </si>
  <si>
    <t>172.24.100.10</t>
  </si>
  <si>
    <t>9441233d</t>
  </si>
  <si>
    <t>Boka Da Vinci</t>
  </si>
  <si>
    <t>Shahaf</t>
  </si>
  <si>
    <t>IMO30511SRV1</t>
  </si>
  <si>
    <t>Boka Constructor</t>
  </si>
  <si>
    <t>0d 2h 31m 0s</t>
  </si>
  <si>
    <t>172.24.124.10</t>
  </si>
  <si>
    <t>9358943d</t>
  </si>
  <si>
    <t>Boka Expedition</t>
  </si>
  <si>
    <t>Beachway (MS10)</t>
  </si>
  <si>
    <t>9441233SRV1</t>
  </si>
  <si>
    <t>56d 1h 39m 47s</t>
  </si>
  <si>
    <t>172.24.112.10</t>
  </si>
  <si>
    <t>9448401d</t>
  </si>
  <si>
    <t>Boka Falcon</t>
  </si>
  <si>
    <t>Fairway</t>
  </si>
  <si>
    <t>BKM 100</t>
  </si>
  <si>
    <t>9358943SRV1</t>
  </si>
  <si>
    <t>32d 11h 9m 43s</t>
  </si>
  <si>
    <t>172.16.4.10</t>
  </si>
  <si>
    <t>9448413d</t>
  </si>
  <si>
    <t>Boka Fulmar</t>
  </si>
  <si>
    <t>Queen of the Netherlands</t>
  </si>
  <si>
    <t>BKM 101</t>
  </si>
  <si>
    <t>9448401SRV1</t>
  </si>
  <si>
    <t>62d 23h 5m 10s</t>
  </si>
  <si>
    <t>172.24.108.10</t>
  </si>
  <si>
    <t>9344796d</t>
  </si>
  <si>
    <t>Boka Glacier</t>
  </si>
  <si>
    <t>Waterway</t>
  </si>
  <si>
    <t>9448413SRV1</t>
  </si>
  <si>
    <t>66d 15h 19m 3s</t>
  </si>
  <si>
    <t>172.24.156.10</t>
  </si>
  <si>
    <t>9433183d</t>
  </si>
  <si>
    <t>Boka Northern Ocean</t>
  </si>
  <si>
    <t>Coastway</t>
  </si>
  <si>
    <t>9344796SRV1</t>
  </si>
  <si>
    <t>94d 0h 10m 55s</t>
  </si>
  <si>
    <t>172.16.5.10</t>
  </si>
  <si>
    <t>9187526d</t>
  </si>
  <si>
    <t>Boka Polaris</t>
  </si>
  <si>
    <t>Prins der Nederlanden</t>
  </si>
  <si>
    <t>9433183SRV1</t>
  </si>
  <si>
    <t>99d 21h 14m 26s</t>
  </si>
  <si>
    <t>172.24.168.10</t>
  </si>
  <si>
    <t>9315563d</t>
  </si>
  <si>
    <t>Boka Sherpa</t>
  </si>
  <si>
    <t>Oranje</t>
  </si>
  <si>
    <t>BL 10 (Jamuna VIII)</t>
  </si>
  <si>
    <t>9187526SRV1</t>
  </si>
  <si>
    <t>4d 15h 58m 16s</t>
  </si>
  <si>
    <t>172.24.148.10</t>
  </si>
  <si>
    <t>9275153d</t>
  </si>
  <si>
    <t>Boka Sub C</t>
  </si>
  <si>
    <t>Beachway (OLD)</t>
  </si>
  <si>
    <t>Bokalift 1</t>
  </si>
  <si>
    <t>OCEANTG</t>
  </si>
  <si>
    <t xml:space="preserve"> Non-ITLink Server</t>
  </si>
  <si>
    <t>41d 9h 32m 10s</t>
  </si>
  <si>
    <t>172.24.148.67</t>
  </si>
  <si>
    <t>9315575d</t>
  </si>
  <si>
    <t>Boka Summit</t>
  </si>
  <si>
    <t>Argonaut I</t>
  </si>
  <si>
    <t>Bokalift 2</t>
  </si>
  <si>
    <t>9315563SRV1</t>
  </si>
  <si>
    <t>142d 19h 59m 46s</t>
  </si>
  <si>
    <t>172.16.3.10</t>
  </si>
  <si>
    <t>9792527d</t>
  </si>
  <si>
    <t>Boka Tiamat</t>
  </si>
  <si>
    <t>Coronaut</t>
  </si>
  <si>
    <t>Capricorn</t>
  </si>
  <si>
    <t>9275153SRV1</t>
  </si>
  <si>
    <t>6d 9h 31m 11s</t>
  </si>
  <si>
    <t>172.24.164.10</t>
  </si>
  <si>
    <t>9382815d</t>
  </si>
  <si>
    <t>Boka Topaz</t>
  </si>
  <si>
    <t>Wodan</t>
  </si>
  <si>
    <t>Causeway</t>
  </si>
  <si>
    <t>6d 9h 13m 9s</t>
  </si>
  <si>
    <t>172.24.164.67</t>
  </si>
  <si>
    <t>9592850d</t>
  </si>
  <si>
    <t>AF 02</t>
  </si>
  <si>
    <t>VINGCARD</t>
  </si>
  <si>
    <t>6d 9h 28m 1s</t>
  </si>
  <si>
    <t>172.24.164.68</t>
  </si>
  <si>
    <t>9190705d</t>
  </si>
  <si>
    <t>Crestway</t>
  </si>
  <si>
    <t>Colbart</t>
  </si>
  <si>
    <t>9315575SRV1</t>
  </si>
  <si>
    <t>100d 20h 33m 45s</t>
  </si>
  <si>
    <t>172.16.2.10</t>
  </si>
  <si>
    <t>9537537d</t>
  </si>
  <si>
    <t>Boxer</t>
  </si>
  <si>
    <t>Shoreway</t>
  </si>
  <si>
    <t>Constructor</t>
  </si>
  <si>
    <t>9792527SRV1</t>
  </si>
  <si>
    <t>416d 3h 15m 50s</t>
  </si>
  <si>
    <t>172.24.128.10</t>
  </si>
  <si>
    <t>IMO99999d</t>
  </si>
  <si>
    <t>Bronte</t>
  </si>
  <si>
    <t>Gateway</t>
  </si>
  <si>
    <t>Corintio</t>
  </si>
  <si>
    <t>9382815SRV1</t>
  </si>
  <si>
    <t>165d 16h 10m 58s</t>
  </si>
  <si>
    <t>172.24.152.10</t>
  </si>
  <si>
    <t>9653197d</t>
  </si>
  <si>
    <t>Willem van Oranje</t>
  </si>
  <si>
    <t>Cork Sand</t>
  </si>
  <si>
    <t>209253000SRV1</t>
  </si>
  <si>
    <t>Bokabarge 82</t>
  </si>
  <si>
    <t>56d 14h 29m 33s</t>
  </si>
  <si>
    <t>172.24.28.10</t>
  </si>
  <si>
    <t>9243019d</t>
  </si>
  <si>
    <t>GTO 187  (SP10)</t>
  </si>
  <si>
    <t>Cornelius</t>
  </si>
  <si>
    <t>9592850SRV1</t>
  </si>
  <si>
    <t>58d 6h 6m 27s</t>
  </si>
  <si>
    <t>172.24.72.10</t>
  </si>
  <si>
    <t>IMO30071d</t>
  </si>
  <si>
    <t>Shoalway</t>
  </si>
  <si>
    <t>IMO00002SRV1</t>
  </si>
  <si>
    <t>46d 11h 15m 3s</t>
  </si>
  <si>
    <t>172.24.80.10</t>
  </si>
  <si>
    <t>9420332d</t>
  </si>
  <si>
    <t>Cosel</t>
  </si>
  <si>
    <t>9537537SRV1</t>
  </si>
  <si>
    <t>139d 16h 55m 7s</t>
  </si>
  <si>
    <t>172.28.12.10</t>
  </si>
  <si>
    <t>9524932d</t>
  </si>
  <si>
    <t>DSV Constructor</t>
  </si>
  <si>
    <t>Sidi</t>
  </si>
  <si>
    <t>IMO99999SRV1</t>
  </si>
  <si>
    <t>18d 4h 13m 32s</t>
  </si>
  <si>
    <t>172.28.192.10</t>
  </si>
  <si>
    <t>9132454d</t>
  </si>
  <si>
    <t>Cutterheads</t>
  </si>
  <si>
    <t>9653197SRV1</t>
  </si>
  <si>
    <t>131d 14h 27m 20s</t>
  </si>
  <si>
    <t>172.25.88.10</t>
  </si>
  <si>
    <t>8988789d</t>
  </si>
  <si>
    <t>Fetsy L</t>
  </si>
  <si>
    <t>Strandway</t>
  </si>
  <si>
    <t>Dina M</t>
  </si>
  <si>
    <t>9243019SRV1</t>
  </si>
  <si>
    <t>110d 14h 45m 2s</t>
  </si>
  <si>
    <t>172.25.32.10</t>
  </si>
  <si>
    <t>9537525d</t>
  </si>
  <si>
    <t>Fighter</t>
  </si>
  <si>
    <t>Freeway</t>
  </si>
  <si>
    <t>Durango</t>
  </si>
  <si>
    <t>IMO30071SRV1</t>
  </si>
  <si>
    <t>115d 21h 0m 39s</t>
  </si>
  <si>
    <t>172.26.0.10</t>
  </si>
  <si>
    <t>9691682d</t>
  </si>
  <si>
    <t>Terra Plana</t>
  </si>
  <si>
    <t>Edax</t>
  </si>
  <si>
    <t>9420332SRV1</t>
  </si>
  <si>
    <t>217d 4h 51m 15s</t>
  </si>
  <si>
    <t>172.25.48.10</t>
  </si>
  <si>
    <t>9448994d</t>
  </si>
  <si>
    <t>Mighty Servant</t>
  </si>
  <si>
    <t>Elisa</t>
  </si>
  <si>
    <t>9524932SRV1</t>
  </si>
  <si>
    <t>46d 16h 47m 53s</t>
  </si>
  <si>
    <t>172.28.92.10</t>
  </si>
  <si>
    <t>9739197d</t>
  </si>
  <si>
    <t>Helios</t>
  </si>
  <si>
    <t>39d 5h 36m 23s</t>
  </si>
  <si>
    <t>172.28.92.67</t>
  </si>
  <si>
    <t>8412821d</t>
  </si>
  <si>
    <t>Hidalgo</t>
  </si>
  <si>
    <t>Fairmount Sherpa</t>
  </si>
  <si>
    <t>EDAXBOKASRV1</t>
  </si>
  <si>
    <t>0d 1h 9m 35s</t>
  </si>
  <si>
    <t>172.26.4.10</t>
  </si>
  <si>
    <t>9322607d</t>
  </si>
  <si>
    <t>Kamara</t>
  </si>
  <si>
    <t>Phoenix I</t>
  </si>
  <si>
    <t>Finesse</t>
  </si>
  <si>
    <t>9132454SRV1</t>
  </si>
  <si>
    <t>75d 16h 25m 59s</t>
  </si>
  <si>
    <t>172.24.40.10</t>
  </si>
  <si>
    <t>9470181d</t>
  </si>
  <si>
    <t>Kim K</t>
  </si>
  <si>
    <t>8988789SRV1</t>
  </si>
  <si>
    <t>0d 21h 41m 1s</t>
  </si>
  <si>
    <t>172.28.140.10</t>
  </si>
  <si>
    <t>9328273d</t>
  </si>
  <si>
    <t>Komodo</t>
  </si>
  <si>
    <t>Jokra I</t>
  </si>
  <si>
    <t>9537525SRV1</t>
  </si>
  <si>
    <t>173d 18h 45m 16s</t>
  </si>
  <si>
    <t>172.28.36.10</t>
  </si>
  <si>
    <t>9848235d</t>
  </si>
  <si>
    <t>Krios</t>
  </si>
  <si>
    <t>Para I</t>
  </si>
  <si>
    <t>Frigg</t>
  </si>
  <si>
    <t>9691682SRV1</t>
  </si>
  <si>
    <t>39d 9h 12m 30s</t>
  </si>
  <si>
    <t>172.25.96.10</t>
  </si>
  <si>
    <t>9787601d</t>
  </si>
  <si>
    <t>Magnor</t>
  </si>
  <si>
    <t>SMMS</t>
  </si>
  <si>
    <t>2d 9h 35m 41s</t>
  </si>
  <si>
    <t>172.25.96.66</t>
  </si>
  <si>
    <t>9261487d</t>
  </si>
  <si>
    <t>Manta</t>
  </si>
  <si>
    <t>Taurus II</t>
  </si>
  <si>
    <t>Gemma</t>
  </si>
  <si>
    <t>9448994SRV1</t>
  </si>
  <si>
    <t>194d 20h 15m 53s</t>
  </si>
  <si>
    <t>172.24.4.10</t>
  </si>
  <si>
    <t>7654322d</t>
  </si>
  <si>
    <t>Manu Pekka</t>
  </si>
  <si>
    <t>Orion</t>
  </si>
  <si>
    <t>Giant 5</t>
  </si>
  <si>
    <t>9760017SRV1</t>
  </si>
  <si>
    <t>Giant 7</t>
  </si>
  <si>
    <t>96d 17h 45m 47s</t>
  </si>
  <si>
    <t>172.25.100.10</t>
  </si>
  <si>
    <t>masadad</t>
  </si>
  <si>
    <t>Masada</t>
  </si>
  <si>
    <t>Ursa</t>
  </si>
  <si>
    <t>Giant 6</t>
  </si>
  <si>
    <t>9739197SRV1</t>
  </si>
  <si>
    <t>11d 17h 14m 14s</t>
  </si>
  <si>
    <t>172.25.60.10</t>
  </si>
  <si>
    <t>9524152d</t>
  </si>
  <si>
    <t>Medway</t>
  </si>
  <si>
    <t>8412821SRV1</t>
  </si>
  <si>
    <t>64d 8h 54m 22s</t>
  </si>
  <si>
    <t>172.28.148.10</t>
  </si>
  <si>
    <t>9322592d</t>
  </si>
  <si>
    <t>Nicobar</t>
  </si>
  <si>
    <t>Goodwin Sand</t>
  </si>
  <si>
    <t>9322607SRV1</t>
  </si>
  <si>
    <t>103d 12h 51m 2s</t>
  </si>
  <si>
    <t>172.28.84.10</t>
  </si>
  <si>
    <t>9352365d</t>
  </si>
  <si>
    <t>Nova K</t>
  </si>
  <si>
    <t>NULL</t>
  </si>
  <si>
    <t>Guayas</t>
  </si>
  <si>
    <t>9470181SRV1</t>
  </si>
  <si>
    <t>31d 2h 5m 11s</t>
  </si>
  <si>
    <t>172.28.168.10</t>
  </si>
  <si>
    <t>RBW-NL</t>
  </si>
  <si>
    <t>Office</t>
  </si>
  <si>
    <t>9328273SRV1</t>
  </si>
  <si>
    <t>59d 9h 8m 5s</t>
  </si>
  <si>
    <t>172.28.20.10</t>
  </si>
  <si>
    <t>9263904d</t>
  </si>
  <si>
    <t>9848235SRV1</t>
  </si>
  <si>
    <t>65d 19h 54m 16s</t>
  </si>
  <si>
    <t>172.25.64.10</t>
  </si>
  <si>
    <t>8646343d</t>
  </si>
  <si>
    <t>Pontra Maris</t>
  </si>
  <si>
    <t>Mercurius</t>
  </si>
  <si>
    <t>Isabela</t>
  </si>
  <si>
    <t>9787601SRV1</t>
  </si>
  <si>
    <t>21d 21h 28m 30s</t>
  </si>
  <si>
    <t>172.25.12.10</t>
  </si>
  <si>
    <t>9242766d</t>
  </si>
  <si>
    <t>Princess</t>
  </si>
  <si>
    <t>Itchen</t>
  </si>
  <si>
    <t>9261487SRV1</t>
  </si>
  <si>
    <t>30d 3h 56m 38s</t>
  </si>
  <si>
    <t>172.28.32.10</t>
  </si>
  <si>
    <t>9263899d</t>
  </si>
  <si>
    <t>Test</t>
  </si>
  <si>
    <t>Jalisco</t>
  </si>
  <si>
    <t>1000010SRV1</t>
  </si>
  <si>
    <t>27d 17h 46m 54s</t>
  </si>
  <si>
    <t>172.26.12.10</t>
  </si>
  <si>
    <t>9164031d</t>
  </si>
  <si>
    <t>Barril</t>
  </si>
  <si>
    <t>Jamuna IX</t>
  </si>
  <si>
    <t>MASADASRV1</t>
  </si>
  <si>
    <t>134d 17h 7m 3s</t>
  </si>
  <si>
    <t>172.25.120.10</t>
  </si>
  <si>
    <t>9583861d</t>
  </si>
  <si>
    <t>Rockpiper</t>
  </si>
  <si>
    <t>Wadden 1</t>
  </si>
  <si>
    <t>Java Walrus</t>
  </si>
  <si>
    <t>9524152SRV1</t>
  </si>
  <si>
    <t>97d 18h 5m 1s</t>
  </si>
  <si>
    <t>172.25.116.10</t>
  </si>
  <si>
    <t>8213744d</t>
  </si>
  <si>
    <t>Seahorse</t>
  </si>
  <si>
    <t>Wadden 2</t>
  </si>
  <si>
    <t>Jokra</t>
  </si>
  <si>
    <t>9650212SRV1</t>
  </si>
  <si>
    <t>Ndeavor</t>
  </si>
  <si>
    <t>0d 0h 14m 25s</t>
  </si>
  <si>
    <t>172.24.48.10</t>
  </si>
  <si>
    <t>8766296d</t>
  </si>
  <si>
    <t>Seapiper</t>
  </si>
  <si>
    <t>Wadden 3</t>
  </si>
  <si>
    <t>Kare</t>
  </si>
  <si>
    <t>9632466SRV1</t>
  </si>
  <si>
    <t>Ndurance</t>
  </si>
  <si>
    <t>7d 19h 51m 25s</t>
  </si>
  <si>
    <t>172.24.44.10</t>
  </si>
  <si>
    <t>9662356d</t>
  </si>
  <si>
    <t>Sentosa</t>
  </si>
  <si>
    <t>Wadden 4</t>
  </si>
  <si>
    <t>Kim</t>
  </si>
  <si>
    <t>9322592SRV1</t>
  </si>
  <si>
    <t>126d 21h 5m 11s</t>
  </si>
  <si>
    <t>172.26.192.10</t>
  </si>
  <si>
    <t>9662368d</t>
  </si>
  <si>
    <t>Seraya</t>
  </si>
  <si>
    <t>Alcatraz</t>
  </si>
  <si>
    <t>Koura</t>
  </si>
  <si>
    <t>IMO30161SRV1</t>
  </si>
  <si>
    <t>Nordic Giant</t>
  </si>
  <si>
    <t>57d 1h 34m 0s</t>
  </si>
  <si>
    <t>172.27.32.10</t>
  </si>
  <si>
    <t>9556337d</t>
  </si>
  <si>
    <t>Kreeft</t>
  </si>
  <si>
    <t>9352365SRV1</t>
  </si>
  <si>
    <t>4d 19h 50m 21s</t>
  </si>
  <si>
    <t>172.28.172.10</t>
  </si>
  <si>
    <t>9420344d</t>
  </si>
  <si>
    <t>Long Sand</t>
  </si>
  <si>
    <t>NP459BOKASRV1</t>
  </si>
  <si>
    <t>NP459</t>
  </si>
  <si>
    <t>24d 20h 48m 48s</t>
  </si>
  <si>
    <t>172.27.0.10</t>
  </si>
  <si>
    <t>9393979d</t>
  </si>
  <si>
    <t>9639969SRV1</t>
  </si>
  <si>
    <t>Oceanus</t>
  </si>
  <si>
    <t>70d 14h 12m 52s</t>
  </si>
  <si>
    <t>9433171d</t>
  </si>
  <si>
    <t>Southern Ocean</t>
  </si>
  <si>
    <t>Rind</t>
  </si>
  <si>
    <t>IMO30548SRV1</t>
  </si>
  <si>
    <t>Odin</t>
  </si>
  <si>
    <t>3d 1h 29m 41s</t>
  </si>
  <si>
    <t>172.27.28.10</t>
  </si>
  <si>
    <t>9262742d</t>
  </si>
  <si>
    <t>Sovereign</t>
  </si>
  <si>
    <t>HH52</t>
  </si>
  <si>
    <t>9664457d</t>
  </si>
  <si>
    <t>HH53</t>
  </si>
  <si>
    <t>Maricavor</t>
  </si>
  <si>
    <t>9263904SRV1</t>
  </si>
  <si>
    <t>159d 22h 20m 11s</t>
  </si>
  <si>
    <t>172.24.0.10</t>
  </si>
  <si>
    <t>8010506d</t>
  </si>
  <si>
    <t>Taklift 4</t>
  </si>
  <si>
    <t>Packman</t>
  </si>
  <si>
    <t>Marieke</t>
  </si>
  <si>
    <t>8646343SRV1</t>
  </si>
  <si>
    <t>46d 14h 42m 1s</t>
  </si>
  <si>
    <t>172.28.152.10</t>
  </si>
  <si>
    <t>7829273d</t>
  </si>
  <si>
    <t>Taklift 7</t>
  </si>
  <si>
    <t>9242766SRV1</t>
  </si>
  <si>
    <t>68d 18h 3m 48s</t>
  </si>
  <si>
    <t>172.28.60.10</t>
  </si>
  <si>
    <t>8119546d</t>
  </si>
  <si>
    <t>Medway (MS11)</t>
  </si>
  <si>
    <t>9263899SRV1</t>
  </si>
  <si>
    <t>70d 2h 56m 48s</t>
  </si>
  <si>
    <t>172.24.16.10</t>
  </si>
  <si>
    <t>9788746d</t>
  </si>
  <si>
    <t>9164031SRV1</t>
  </si>
  <si>
    <t>133d 5h 45m 18s</t>
  </si>
  <si>
    <t>172.24.20.10</t>
  </si>
  <si>
    <t>9658276d</t>
  </si>
  <si>
    <t>Terramare 1</t>
  </si>
  <si>
    <t>MP27</t>
  </si>
  <si>
    <t>9583861SRV1</t>
  </si>
  <si>
    <t>59d 23h 2m 33s</t>
  </si>
  <si>
    <t>172.24.36.10</t>
  </si>
  <si>
    <t>9503794d</t>
  </si>
  <si>
    <t>Tessa</t>
  </si>
  <si>
    <t>MP40</t>
  </si>
  <si>
    <t>8213744SRV1</t>
  </si>
  <si>
    <t>54d 1h 19m 56s</t>
  </si>
  <si>
    <t>172.24.24.10</t>
  </si>
  <si>
    <t>8902955d</t>
  </si>
  <si>
    <t>Trustee</t>
  </si>
  <si>
    <t>Cornelius I</t>
  </si>
  <si>
    <t>Nayarit</t>
  </si>
  <si>
    <t>8766296SRV1</t>
  </si>
  <si>
    <t>10d 22h 1m 38s</t>
  </si>
  <si>
    <t>172.25.128.10</t>
  </si>
  <si>
    <t>9406415d</t>
  </si>
  <si>
    <t>Union Onyx</t>
  </si>
  <si>
    <t>Manu-Pekka</t>
  </si>
  <si>
    <t>9662356SRV1</t>
  </si>
  <si>
    <t>44d 20h 0m 27s</t>
  </si>
  <si>
    <t>172.28.64.10</t>
  </si>
  <si>
    <t>9406427d</t>
  </si>
  <si>
    <t>Union Topaz</t>
  </si>
  <si>
    <t>9662368SRV1</t>
  </si>
  <si>
    <t>49d 9h 42m 27s</t>
  </si>
  <si>
    <t>172.28.68.10</t>
  </si>
  <si>
    <t>9537513d</t>
  </si>
  <si>
    <t>Warrior</t>
  </si>
  <si>
    <t>Nieuwe Merwede Ponton</t>
  </si>
  <si>
    <t>9556337SRV1</t>
  </si>
  <si>
    <t>67d 19h 9m 42s</t>
  </si>
  <si>
    <t>172.24.8.10</t>
  </si>
  <si>
    <t>9240005d</t>
  </si>
  <si>
    <t>9420344SRV1</t>
  </si>
  <si>
    <t>46d 20h 32m 35s</t>
  </si>
  <si>
    <t>172.25.68.10</t>
  </si>
  <si>
    <t>9449065d</t>
  </si>
  <si>
    <t>9393979SRV1</t>
  </si>
  <si>
    <t>32d 4h 40m 57s</t>
  </si>
  <si>
    <t>172.28.136.10</t>
  </si>
  <si>
    <t>9537549d</t>
  </si>
  <si>
    <t>Wrestler</t>
  </si>
  <si>
    <t>ODIN</t>
  </si>
  <si>
    <t>Office - Location</t>
  </si>
  <si>
    <t>9433171SRV1</t>
  </si>
  <si>
    <t>3d 23h 38m 21s</t>
  </si>
  <si>
    <t>172.24.136.10</t>
  </si>
  <si>
    <t>Rocky I</t>
  </si>
  <si>
    <t>Onyx</t>
  </si>
  <si>
    <t>9262742SRV1</t>
  </si>
  <si>
    <t>11d 13h 18m 22s</t>
  </si>
  <si>
    <t>172.28.56.10</t>
  </si>
  <si>
    <t>9496458SRV1</t>
  </si>
  <si>
    <t>Spirit</t>
  </si>
  <si>
    <t>0d 17h 50m 51s</t>
  </si>
  <si>
    <t>172.24.88.10</t>
  </si>
  <si>
    <t>9664457SRV1</t>
  </si>
  <si>
    <t>39d 3h 47m 10s</t>
  </si>
  <si>
    <t>172.25.92.10</t>
  </si>
  <si>
    <t>Michael</t>
  </si>
  <si>
    <t>9199763SRV1</t>
  </si>
  <si>
    <t>Suzanne D</t>
  </si>
  <si>
    <t>0d 4h 15m 26s</t>
  </si>
  <si>
    <t>172.28.164.10</t>
  </si>
  <si>
    <t>Para 1</t>
  </si>
  <si>
    <t>8010506SRV1</t>
  </si>
  <si>
    <t>13d 9h 34m 49s</t>
  </si>
  <si>
    <t>172.28.8.10</t>
  </si>
  <si>
    <t>Liz V</t>
  </si>
  <si>
    <t>Phoenix</t>
  </si>
  <si>
    <t>7829273SRV1</t>
  </si>
  <si>
    <t>4d 23h 38m 23s</t>
  </si>
  <si>
    <t>172.28.72.10</t>
  </si>
  <si>
    <t>Polaris</t>
  </si>
  <si>
    <t>8119546SRV1</t>
  </si>
  <si>
    <t>9d 5h 43m 12s</t>
  </si>
  <si>
    <t>172.25.76.10</t>
  </si>
  <si>
    <t>Victoria</t>
  </si>
  <si>
    <t>President Hubert</t>
  </si>
  <si>
    <t>9788746SRV1</t>
  </si>
  <si>
    <t>16d 14h 35m 30s</t>
  </si>
  <si>
    <t>172.27.8.10</t>
  </si>
  <si>
    <t>Isabella</t>
  </si>
  <si>
    <t>9658276SRV1</t>
  </si>
  <si>
    <t>76d 15h 5m 33s</t>
  </si>
  <si>
    <t>172.26.48.10</t>
  </si>
  <si>
    <t>Saskia</t>
  </si>
  <si>
    <t>9503794SRV1</t>
  </si>
  <si>
    <t>Tessa W</t>
  </si>
  <si>
    <t>17d 11h 16m 15s</t>
  </si>
  <si>
    <t>ANNIE 1( vaartuig is verkocht )</t>
  </si>
  <si>
    <t>9406415SRV1</t>
  </si>
  <si>
    <t>31d 15h 35m 58s</t>
  </si>
  <si>
    <t>172.26.52.10</t>
  </si>
  <si>
    <t>9406427SRV1</t>
  </si>
  <si>
    <t>96d 5h 59m 0s</t>
  </si>
  <si>
    <t>172.26.56.10</t>
  </si>
  <si>
    <t>9537513SRV1</t>
  </si>
  <si>
    <t>205d 16h 54m 30s</t>
  </si>
  <si>
    <t>172.28.40.10</t>
  </si>
  <si>
    <t>BKS 292</t>
  </si>
  <si>
    <t>Sandpiper</t>
  </si>
  <si>
    <t>9240005SRV1</t>
  </si>
  <si>
    <t>40d 14h 21m 37s</t>
  </si>
  <si>
    <t>172.25.84.10</t>
  </si>
  <si>
    <t>9449065SRV1</t>
  </si>
  <si>
    <t>9d 23h 35m 4s</t>
  </si>
  <si>
    <t>172.24.12.10</t>
  </si>
  <si>
    <t>Seahorse joint venture</t>
  </si>
  <si>
    <t>9537549SRV1</t>
  </si>
  <si>
    <t>183d 15h 36m 58s</t>
  </si>
  <si>
    <t>172.28.44.10</t>
  </si>
  <si>
    <t>Seaway</t>
  </si>
  <si>
    <t>9631498SRV1</t>
  </si>
  <si>
    <t>Yvonne</t>
  </si>
  <si>
    <t>172d 0h 35m 52s</t>
  </si>
  <si>
    <t>172.28.144.10</t>
  </si>
  <si>
    <t>Sherpa</t>
  </si>
  <si>
    <t>MSP 1</t>
  </si>
  <si>
    <t>MSP 2</t>
  </si>
  <si>
    <t>Smit Angola</t>
  </si>
  <si>
    <t>MSP 3</t>
  </si>
  <si>
    <t>Smit Barracuda</t>
  </si>
  <si>
    <t>MSP 4</t>
  </si>
  <si>
    <t>Smit Beluga</t>
  </si>
  <si>
    <t>Alex II</t>
  </si>
  <si>
    <t>Smit Bison</t>
  </si>
  <si>
    <t>Dina</t>
  </si>
  <si>
    <t>Smit Bronco</t>
  </si>
  <si>
    <t>Smit Buffalo</t>
  </si>
  <si>
    <t>Jamuna VIII</t>
  </si>
  <si>
    <t>Smit Bulldog</t>
  </si>
  <si>
    <t>Smit Cerne</t>
  </si>
  <si>
    <t>Stemat 63</t>
  </si>
  <si>
    <t>Smit Dee</t>
  </si>
  <si>
    <t>Fjord</t>
  </si>
  <si>
    <t>Smit Don</t>
  </si>
  <si>
    <t>Smit Frome</t>
  </si>
  <si>
    <t>Yucatan</t>
  </si>
  <si>
    <t>Smit Kamara</t>
  </si>
  <si>
    <t>Smit Komodo</t>
  </si>
  <si>
    <t>Smit Merrion</t>
  </si>
  <si>
    <t>Smit Neyland</t>
  </si>
  <si>
    <t>Smit Nicobar</t>
  </si>
  <si>
    <t>Smit Orca</t>
  </si>
  <si>
    <t>Anne B</t>
  </si>
  <si>
    <t>Smit Penally</t>
  </si>
  <si>
    <t>Smit Sentosa</t>
  </si>
  <si>
    <t>Nova</t>
  </si>
  <si>
    <t>Smit Seraya</t>
  </si>
  <si>
    <t>Rebecca</t>
  </si>
  <si>
    <t>Smit Towy</t>
  </si>
  <si>
    <t>Suzanne</t>
  </si>
  <si>
    <t>Smit Wey</t>
  </si>
  <si>
    <t>Smit Yare</t>
  </si>
  <si>
    <t>SP10</t>
  </si>
  <si>
    <t>Smit Baker</t>
  </si>
  <si>
    <t>Stemat 82</t>
  </si>
  <si>
    <t>Smit Fowler</t>
  </si>
  <si>
    <t>Stemat 92</t>
  </si>
  <si>
    <t>Smit Arrol</t>
  </si>
  <si>
    <t>Stemat Spirit</t>
  </si>
  <si>
    <t>Smit Young</t>
  </si>
  <si>
    <t>Smit Dart</t>
  </si>
  <si>
    <t>Taklift 6</t>
  </si>
  <si>
    <t>Smit Tamar</t>
  </si>
  <si>
    <t>Smit Stour</t>
  </si>
  <si>
    <t>Smit Rother</t>
  </si>
  <si>
    <t>Smit Romney</t>
  </si>
  <si>
    <t>Topaz</t>
  </si>
  <si>
    <t>Trenchformer</t>
  </si>
  <si>
    <t>Union Bear</t>
  </si>
  <si>
    <t>Union Beavor</t>
  </si>
  <si>
    <t>Union Boxer</t>
  </si>
  <si>
    <t>Union Diamond</t>
  </si>
  <si>
    <t>Union Fighter</t>
  </si>
  <si>
    <t>Union Lynx</t>
  </si>
  <si>
    <t>Smit Spey</t>
  </si>
  <si>
    <t>Union Manta</t>
  </si>
  <si>
    <t>Union Princess</t>
  </si>
  <si>
    <t>Union Sapphire</t>
  </si>
  <si>
    <t>Union Sovereign</t>
  </si>
  <si>
    <t>Union Warrior</t>
  </si>
  <si>
    <t>Asian Hercules III</t>
  </si>
  <si>
    <t>Union Wrestler</t>
  </si>
  <si>
    <t>Diamond</t>
  </si>
  <si>
    <t>Sapphire</t>
  </si>
  <si>
    <t>Eerland 23</t>
  </si>
  <si>
    <t>NOT ACTIVE</t>
  </si>
  <si>
    <t>Rijn</t>
  </si>
  <si>
    <t>Inge W</t>
  </si>
  <si>
    <t>Lydia D</t>
  </si>
  <si>
    <t>Smitbarge 1</t>
  </si>
  <si>
    <t>E - 3501</t>
  </si>
  <si>
    <t>E - 3503</t>
  </si>
  <si>
    <t>E - 3504</t>
  </si>
  <si>
    <t>E - 1703</t>
  </si>
  <si>
    <t>E - 1704</t>
  </si>
  <si>
    <t>E - 3004</t>
  </si>
  <si>
    <t>E - 3505</t>
  </si>
  <si>
    <t>E - 3801</t>
  </si>
  <si>
    <t>E - 3001</t>
  </si>
  <si>
    <t>E - 1702</t>
  </si>
  <si>
    <t>E - 1504</t>
  </si>
  <si>
    <t>E - 1506</t>
  </si>
  <si>
    <t>E - 1201</t>
  </si>
  <si>
    <t>E - 801</t>
  </si>
  <si>
    <t>E - 1601</t>
  </si>
  <si>
    <t>E - 403</t>
  </si>
  <si>
    <t>E - 103</t>
  </si>
  <si>
    <t>E - 104</t>
  </si>
  <si>
    <t>Huislift 1</t>
  </si>
  <si>
    <t>Huislift 2</t>
  </si>
  <si>
    <t>Huislift 3</t>
  </si>
  <si>
    <t>Tak 5</t>
  </si>
  <si>
    <t>Smitbarge 10</t>
  </si>
  <si>
    <t>Smitbarge 11</t>
  </si>
  <si>
    <t>Smitbarge 12</t>
  </si>
  <si>
    <t>Smitbarge 14</t>
  </si>
  <si>
    <t>Smitbarge 2</t>
  </si>
  <si>
    <t>Bokabarge 6</t>
  </si>
  <si>
    <t>Bokabarge 7</t>
  </si>
  <si>
    <t>Bokabarge 8</t>
  </si>
  <si>
    <t>Bokabarge 9</t>
  </si>
  <si>
    <t>Bokabarge 68</t>
  </si>
  <si>
    <t>Fetsy</t>
  </si>
  <si>
    <t>Smitbarge 73</t>
  </si>
  <si>
    <t>Stemat 79</t>
  </si>
  <si>
    <t>Bokabarge 77</t>
  </si>
  <si>
    <t>Smitbarge 87</t>
  </si>
  <si>
    <t>Falcon</t>
  </si>
  <si>
    <t>Bokabarge 91</t>
  </si>
  <si>
    <t>Union Beaver</t>
  </si>
  <si>
    <t>Winches</t>
  </si>
  <si>
    <t>Bas III .2 Manipulator</t>
  </si>
  <si>
    <t>Shore Pipe Lines</t>
  </si>
  <si>
    <t>Floating Pipe Lines</t>
  </si>
  <si>
    <t>Hoses</t>
  </si>
  <si>
    <t>Powerpack Hydraulics</t>
  </si>
  <si>
    <t>Josef Mobius (MS9)</t>
  </si>
  <si>
    <t>B/C Equipment</t>
  </si>
  <si>
    <t>BOTS</t>
  </si>
  <si>
    <t>Boskalis Offshore Transport Services</t>
  </si>
  <si>
    <t>CENTRAL</t>
  </si>
  <si>
    <t>Central data shared by all vessels</t>
  </si>
  <si>
    <t>E20052</t>
  </si>
  <si>
    <t>WD Michel</t>
  </si>
  <si>
    <t>E212141</t>
  </si>
  <si>
    <t>F48</t>
  </si>
  <si>
    <t>E21241</t>
  </si>
  <si>
    <t>FMD</t>
  </si>
  <si>
    <t>Fleet Management Dredging</t>
  </si>
  <si>
    <t>FMO</t>
  </si>
  <si>
    <t>Fleet Management Offshore</t>
  </si>
  <si>
    <t>Actions</t>
  </si>
  <si>
    <t>Roles</t>
  </si>
  <si>
    <t>Vessels</t>
  </si>
  <si>
    <t>Description of Role</t>
  </si>
  <si>
    <t>Group</t>
  </si>
  <si>
    <t>Group description</t>
  </si>
  <si>
    <t>Change vessel but maintain role</t>
  </si>
  <si>
    <t>Backhoe Operator</t>
  </si>
  <si>
    <t>PMTEAME</t>
  </si>
  <si>
    <t>Fleet Team Backhoes and Cranes</t>
  </si>
  <si>
    <t>Change role on vessel</t>
  </si>
  <si>
    <t>Barge Master / Head Skipper (non-propelled)</t>
  </si>
  <si>
    <t>DREDGEMASTER</t>
  </si>
  <si>
    <t>Dredgemaster</t>
  </si>
  <si>
    <t>Add vessel to a user</t>
  </si>
  <si>
    <t>Captain</t>
  </si>
  <si>
    <t>CAPTAIN</t>
  </si>
  <si>
    <t>Remove vessel from a user</t>
  </si>
  <si>
    <t>Chief Engineer</t>
  </si>
  <si>
    <t>CHIEFENG</t>
  </si>
  <si>
    <t xml:space="preserve">   </t>
  </si>
  <si>
    <t>Chief Mate</t>
  </si>
  <si>
    <t>CHIEFMATE</t>
  </si>
  <si>
    <t>Chief Officer</t>
  </si>
  <si>
    <t>Crewing Department</t>
  </si>
  <si>
    <t>CREWDEP</t>
  </si>
  <si>
    <t>Customer Support</t>
  </si>
  <si>
    <t>CUSSUPORT</t>
  </si>
  <si>
    <t>Cutter Skipper (Non-Propelled)</t>
  </si>
  <si>
    <t>Diving Technician</t>
  </si>
  <si>
    <t>ENGINEER</t>
  </si>
  <si>
    <t>Fleet- and Maintenance Engineer</t>
  </si>
  <si>
    <t>Dredge Master</t>
  </si>
  <si>
    <t>Field Engineer</t>
  </si>
  <si>
    <t>First Engineer</t>
  </si>
  <si>
    <t>FIRSTENG</t>
  </si>
  <si>
    <t>Inspector</t>
  </si>
  <si>
    <t>INSPECTOR</t>
  </si>
  <si>
    <t>Oiler / Greaser / Welder</t>
  </si>
  <si>
    <t>SECONDENG</t>
  </si>
  <si>
    <t>2nd Engineer</t>
  </si>
  <si>
    <t>Pipe Operator</t>
  </si>
  <si>
    <t>FLEETENG_DRED_AUX</t>
  </si>
  <si>
    <t>Fleet Engineer Dredging (Pipelines)</t>
  </si>
  <si>
    <t>Plant Manager</t>
  </si>
  <si>
    <t>PLMGR</t>
  </si>
  <si>
    <t>Sandfill Master / Marine Super Intendent (Water Boss)</t>
  </si>
  <si>
    <t>SUPERINT</t>
  </si>
  <si>
    <t>Superintendent (READ ONLY)</t>
  </si>
  <si>
    <t>Second Engineer</t>
  </si>
  <si>
    <t>Second Mate</t>
  </si>
  <si>
    <t>SECONDMATE</t>
  </si>
  <si>
    <t>Second Officer</t>
  </si>
  <si>
    <t>(Ships) Electrician</t>
  </si>
  <si>
    <t>ELEC</t>
  </si>
  <si>
    <t>Electrician</t>
  </si>
  <si>
    <t>Third Engineer</t>
  </si>
  <si>
    <t>Third Officer</t>
  </si>
  <si>
    <t>View/Print Crewlist (READ ONLY)</t>
  </si>
  <si>
    <t>CREW</t>
  </si>
  <si>
    <t>On-board crew/guest account (READ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</si>
</sst>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0" borderId="0" xfId="0" applyFont="1"/>
    <xf numFmtId="0" fontId="2" fillId="0" borderId="0" xfId="0" applyFont="1"/>
    <xf numFmtId="49" fontId="2" fillId="0" borderId="0" xfId="0" applyNumberFormat="1" applyFont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2" fillId="0" borderId="0" xfId="0" applyFont="1" applyProtection="1">
      <protection locked="0"/>
    </xf>
    <xf numFmtId="1" fontId="0" fillId="0" borderId="0" xfId="0" applyNumberFormat="1"/>
    <xf numFmtId="0" fontId="0" fillId="0" borderId="0" xfId="0" applyAlignment="1">
      <alignment vertical="top"/>
    </xf>
    <xf numFmtId="0" fontId="0" fillId="0" borderId="1" xfId="0" applyBorder="1" applyAlignment="1" applyProtection="1">
      <alignment vertical="top"/>
      <protection locked="0"/>
    </xf>
    <xf numFmtId="0" fontId="0" fillId="0" borderId="1" xfId="0" applyBorder="1"/>
    <xf numFmtId="0" fontId="4" fillId="0" borderId="1" xfId="0" applyFont="1" applyBorder="1"/>
    <xf numFmtId="0" fontId="4" fillId="0" borderId="3" xfId="0" applyFont="1" applyBorder="1"/>
  </cellXfs>
  <cellStyles count="1">
    <cellStyle name="Normal" xfId="0" builtinId="0"/>
  </cellStyles>
  <dxfs count="4">
    <dxf>
      <font>
        <color theme="1"/>
      </font>
    </dxf>
    <dxf>
      <font>
        <color theme="1"/>
      </font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0</xdr:rowOff>
    </xdr:from>
    <xdr:to>
      <xdr:col>6</xdr:col>
      <xdr:colOff>592455</xdr:colOff>
      <xdr:row>5</xdr:row>
      <xdr:rowOff>169873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569"/>
        <a:stretch/>
      </xdr:blipFill>
      <xdr:spPr>
        <a:xfrm>
          <a:off x="5591176" y="0"/>
          <a:ext cx="609599" cy="12823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22</xdr:row>
          <xdr:rowOff>7620</xdr:rowOff>
        </xdr:from>
        <xdr:to>
          <xdr:col>4</xdr:col>
          <xdr:colOff>2194560</xdr:colOff>
          <xdr:row>24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form to the Application Desk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BF0-E57F-4B6B-8CD4-8B5733C05EB5}">
  <sheetPr codeName="RequestForm"/>
  <dimension ref="A1:I22"/>
  <sheetViews>
    <sheetView showGridLines="0" tabSelected="1" topLeftCell="A12" zoomScale="130" zoomScaleNormal="130" workbookViewId="0">
      <selection activeCell="E6" sqref="E6"/>
    </sheetView>
  </sheetViews>
  <sheetFormatPr defaultColWidth="9.140625" defaultRowHeight="14.45"/>
  <cols>
    <col min="4" max="4" width="4.140625" customWidth="1"/>
    <col min="5" max="5" width="70" customWidth="1"/>
    <col min="6" max="6" width="2.85546875" customWidth="1"/>
  </cols>
  <sheetData>
    <row r="1" spans="1:9" ht="25.9">
      <c r="A1" s="3" t="s">
        <v>0</v>
      </c>
      <c r="B1" s="3"/>
      <c r="C1" s="3"/>
      <c r="D1" s="3"/>
      <c r="E1" s="3"/>
      <c r="F1" s="3"/>
      <c r="G1" s="3"/>
      <c r="H1" s="3"/>
      <c r="I1" s="3"/>
    </row>
    <row r="2" spans="1:9">
      <c r="A2" t="s">
        <v>1</v>
      </c>
    </row>
    <row r="4" spans="1:9">
      <c r="A4" s="1" t="s">
        <v>2</v>
      </c>
      <c r="E4" s="6"/>
    </row>
    <row r="5" spans="1:9">
      <c r="A5" s="1" t="s">
        <v>3</v>
      </c>
    </row>
    <row r="6" spans="1:9">
      <c r="E6" s="6"/>
    </row>
    <row r="7" spans="1:9">
      <c r="A7" s="1" t="s">
        <v>4</v>
      </c>
    </row>
    <row r="8" spans="1:9">
      <c r="A8" t="s">
        <v>5</v>
      </c>
      <c r="E8" s="6"/>
    </row>
    <row r="9" spans="1:9">
      <c r="A9" t="s">
        <v>6</v>
      </c>
      <c r="E9" s="6"/>
    </row>
    <row r="10" spans="1:9">
      <c r="A10" t="s">
        <v>7</v>
      </c>
      <c r="E10" s="7">
        <v>123234567890</v>
      </c>
    </row>
    <row r="11" spans="1:9">
      <c r="A11" t="s">
        <v>8</v>
      </c>
      <c r="E11" s="6"/>
    </row>
    <row r="13" spans="1:9">
      <c r="A13" t="s">
        <v>9</v>
      </c>
      <c r="E13" s="6" t="s">
        <v>10</v>
      </c>
    </row>
    <row r="15" spans="1:9">
      <c r="A15" t="str">
        <f>IF(OR(Action="New user",Action="Change vessel but maintain role",Action="Add vessel to a user", Action="Remove vessel from a user"),"Choose vessel","")</f>
        <v>Choose vessel</v>
      </c>
      <c r="E15" s="8" t="e" cm="1">
        <f t="array" aca="1" ref="E15" ca="1">GetVesselName()</f>
        <v>#NAME?</v>
      </c>
      <c r="G15" s="4"/>
    </row>
    <row r="16" spans="1:9" ht="7.5" customHeight="1">
      <c r="G16" s="5"/>
    </row>
    <row r="17" spans="1:7">
      <c r="A17" t="str">
        <f>IF(OR(Action="New user",Action="Change role on vessel"),"Choose role","")</f>
        <v>Choose role</v>
      </c>
      <c r="E17" s="8"/>
      <c r="G17" s="4"/>
    </row>
    <row r="19" spans="1:7" ht="42.75" customHeight="1">
      <c r="A19" s="10" t="s">
        <v>11</v>
      </c>
      <c r="E19" s="11"/>
    </row>
    <row r="21" spans="1:7">
      <c r="A21" s="1" t="s">
        <v>12</v>
      </c>
    </row>
    <row r="22" spans="1:7">
      <c r="A22" s="1"/>
    </row>
  </sheetData>
  <sheetProtection selectLockedCells="1"/>
  <conditionalFormatting sqref="E15">
    <cfRule type="expression" dxfId="3" priority="6">
      <formula>$A$15&lt;&gt;""</formula>
    </cfRule>
  </conditionalFormatting>
  <conditionalFormatting sqref="E17">
    <cfRule type="expression" dxfId="2" priority="5">
      <formula>$A$17&lt;&gt;""</formula>
    </cfRule>
  </conditionalFormatting>
  <conditionalFormatting sqref="G15:G16">
    <cfRule type="expression" dxfId="1" priority="3">
      <formula>$A15&lt;&gt;""</formula>
    </cfRule>
  </conditionalFormatting>
  <conditionalFormatting sqref="G17">
    <cfRule type="expression" dxfId="0" priority="1">
      <formula>$A17&lt;&gt;""</formula>
    </cfRule>
  </conditionalFormatting>
  <dataValidations count="3">
    <dataValidation type="list" allowBlank="1" showInputMessage="1" showErrorMessage="1" sqref="E13" xr:uid="{E84E43E1-F774-41BE-882A-532B86626CB4}">
      <formula1>Actions</formula1>
    </dataValidation>
    <dataValidation type="list" allowBlank="1" showInputMessage="1" showErrorMessage="1" sqref="E17" xr:uid="{77B6AA6D-2BC6-4B25-9AD8-21FCB9E3BBB1}">
      <formula1>Roles</formula1>
    </dataValidation>
    <dataValidation type="list" allowBlank="1" showInputMessage="1" showErrorMessage="1" sqref="E6" xr:uid="{1D4D6008-12EA-4401-B6D1-5BC8664BA004}">
      <formula1>"Maximo,SMMS"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Classified Confidential - Only for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rcSendEmail">
                <anchor moveWithCells="1" sizeWithCells="1">
                  <from>
                    <xdr:col>3</xdr:col>
                    <xdr:colOff>259080</xdr:colOff>
                    <xdr:row>22</xdr:row>
                    <xdr:rowOff>7620</xdr:rowOff>
                  </from>
                  <to>
                    <xdr:col>4</xdr:col>
                    <xdr:colOff>2194560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32D031-3A4E-4EE5-8B1B-020055DBDF5E}">
          <x14:formula1>
            <xm:f>Vessels!$S$2:$S$82</xm:f>
          </x14:formula1>
          <xm:sqref>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8B1CB-4985-492F-A98D-55FF621568F9}">
  <sheetPr codeName="Sheet2"/>
  <dimension ref="A1:S261"/>
  <sheetViews>
    <sheetView workbookViewId="0">
      <selection activeCell="P5" sqref="P5"/>
    </sheetView>
  </sheetViews>
  <sheetFormatPr defaultRowHeight="14.45"/>
  <cols>
    <col min="1" max="1" width="11.140625" bestFit="1" customWidth="1"/>
    <col min="2" max="2" width="33.85546875" bestFit="1" customWidth="1"/>
    <col min="6" max="6" width="11.42578125" bestFit="1" customWidth="1"/>
    <col min="7" max="7" width="25.28515625" bestFit="1" customWidth="1"/>
    <col min="8" max="8" width="11.42578125" bestFit="1" customWidth="1"/>
    <col min="10" max="10" width="17.85546875" bestFit="1" customWidth="1"/>
    <col min="11" max="11" width="24.5703125" bestFit="1" customWidth="1"/>
    <col min="12" max="12" width="17.42578125" bestFit="1" customWidth="1"/>
    <col min="13" max="13" width="16.28515625" bestFit="1" customWidth="1"/>
    <col min="14" max="14" width="12.7109375" bestFit="1" customWidth="1"/>
    <col min="18" max="18" width="10.5703125" bestFit="1" customWidth="1"/>
    <col min="19" max="19" width="22.28515625" bestFit="1" customWidth="1"/>
  </cols>
  <sheetData>
    <row r="1" spans="1:19" ht="15.6">
      <c r="A1" s="2" t="s">
        <v>13</v>
      </c>
      <c r="B1" t="s">
        <v>14</v>
      </c>
      <c r="F1" t="s">
        <v>15</v>
      </c>
      <c r="G1" t="s">
        <v>16</v>
      </c>
      <c r="H1" t="s">
        <v>15</v>
      </c>
      <c r="J1" s="13" t="s">
        <v>17</v>
      </c>
      <c r="K1" s="13" t="s">
        <v>18</v>
      </c>
      <c r="L1" s="13" t="s">
        <v>19</v>
      </c>
      <c r="M1" s="13" t="s">
        <v>20</v>
      </c>
      <c r="N1" s="13" t="s">
        <v>21</v>
      </c>
      <c r="O1" s="14" t="s">
        <v>22</v>
      </c>
      <c r="R1" s="1" t="s">
        <v>23</v>
      </c>
      <c r="S1" s="1" t="s">
        <v>24</v>
      </c>
    </row>
    <row r="2" spans="1:19">
      <c r="A2" s="2">
        <v>31</v>
      </c>
      <c r="B2" t="s">
        <v>25</v>
      </c>
      <c r="C2" t="e">
        <v>#N/A</v>
      </c>
      <c r="J2" s="12" t="s">
        <v>26</v>
      </c>
      <c r="K2" s="12" t="s">
        <v>27</v>
      </c>
      <c r="L2" s="12" t="s">
        <v>28</v>
      </c>
      <c r="M2" s="12" t="s">
        <v>29</v>
      </c>
      <c r="N2" s="12" t="s">
        <v>30</v>
      </c>
      <c r="O2" t="e">
        <f>VLOOKUP(K2,$G$3:$H$166,2,FALSE)</f>
        <v>#N/A</v>
      </c>
      <c r="R2" t="s">
        <v>31</v>
      </c>
      <c r="S2" t="s">
        <v>27</v>
      </c>
    </row>
    <row r="3" spans="1:19">
      <c r="A3" s="2">
        <v>9080</v>
      </c>
      <c r="B3" t="s">
        <v>32</v>
      </c>
      <c r="C3" t="e">
        <v>#N/A</v>
      </c>
      <c r="F3">
        <v>10109</v>
      </c>
      <c r="G3" t="s">
        <v>33</v>
      </c>
      <c r="H3">
        <v>10109</v>
      </c>
      <c r="J3" s="12" t="s">
        <v>34</v>
      </c>
      <c r="K3" s="12" t="s">
        <v>35</v>
      </c>
      <c r="L3" s="12" t="s">
        <v>28</v>
      </c>
      <c r="M3" s="12" t="s">
        <v>36</v>
      </c>
      <c r="N3" s="12" t="s">
        <v>37</v>
      </c>
      <c r="O3">
        <f t="shared" ref="O3:O66" si="0">VLOOKUP(K3,$G$3:$H$166,2,FALSE)</f>
        <v>53376</v>
      </c>
      <c r="R3" t="s">
        <v>38</v>
      </c>
      <c r="S3" t="s">
        <v>35</v>
      </c>
    </row>
    <row r="4" spans="1:19">
      <c r="A4" s="2">
        <v>9081</v>
      </c>
      <c r="B4" t="s">
        <v>39</v>
      </c>
      <c r="C4" t="e">
        <v>#N/A</v>
      </c>
      <c r="F4">
        <v>26108</v>
      </c>
      <c r="G4" t="s">
        <v>40</v>
      </c>
      <c r="H4">
        <v>26108</v>
      </c>
      <c r="J4" s="12" t="s">
        <v>41</v>
      </c>
      <c r="K4" s="12" t="s">
        <v>42</v>
      </c>
      <c r="L4" s="12" t="s">
        <v>28</v>
      </c>
      <c r="M4" s="12" t="s">
        <v>43</v>
      </c>
      <c r="N4" s="12" t="s">
        <v>44</v>
      </c>
      <c r="O4">
        <f t="shared" si="0"/>
        <v>10200</v>
      </c>
      <c r="R4" t="s">
        <v>45</v>
      </c>
      <c r="S4" t="s">
        <v>42</v>
      </c>
    </row>
    <row r="5" spans="1:19">
      <c r="A5" s="2">
        <v>9082</v>
      </c>
      <c r="B5" t="s">
        <v>46</v>
      </c>
      <c r="C5" t="e">
        <v>#N/A</v>
      </c>
      <c r="F5">
        <v>21290</v>
      </c>
      <c r="G5" t="s">
        <v>47</v>
      </c>
      <c r="H5">
        <v>21290</v>
      </c>
      <c r="J5" s="12" t="s">
        <v>48</v>
      </c>
      <c r="K5" s="12" t="s">
        <v>49</v>
      </c>
      <c r="L5" s="12" t="s">
        <v>28</v>
      </c>
      <c r="M5" s="12" t="s">
        <v>50</v>
      </c>
      <c r="N5" s="12" t="s">
        <v>51</v>
      </c>
      <c r="O5">
        <f t="shared" si="0"/>
        <v>10076</v>
      </c>
      <c r="R5" t="s">
        <v>52</v>
      </c>
      <c r="S5" t="s">
        <v>49</v>
      </c>
    </row>
    <row r="6" spans="1:19">
      <c r="A6" s="2">
        <v>9083</v>
      </c>
      <c r="B6" t="s">
        <v>53</v>
      </c>
      <c r="C6" t="e">
        <v>#N/A</v>
      </c>
      <c r="F6">
        <v>12035</v>
      </c>
      <c r="G6" t="s">
        <v>54</v>
      </c>
      <c r="H6">
        <v>12035</v>
      </c>
      <c r="J6" s="12" t="s">
        <v>55</v>
      </c>
      <c r="K6" s="12" t="s">
        <v>56</v>
      </c>
      <c r="L6" s="12" t="s">
        <v>28</v>
      </c>
      <c r="M6" s="12" t="s">
        <v>57</v>
      </c>
      <c r="N6" s="12" t="s">
        <v>58</v>
      </c>
      <c r="O6" t="e">
        <f t="shared" si="0"/>
        <v>#N/A</v>
      </c>
      <c r="R6" t="s">
        <v>59</v>
      </c>
      <c r="S6" t="s">
        <v>56</v>
      </c>
    </row>
    <row r="7" spans="1:19">
      <c r="A7" s="2">
        <v>9098</v>
      </c>
      <c r="B7" t="s">
        <v>60</v>
      </c>
      <c r="C7" t="e">
        <v>#N/A</v>
      </c>
      <c r="F7">
        <v>21284</v>
      </c>
      <c r="G7" t="s">
        <v>61</v>
      </c>
      <c r="H7">
        <v>21284</v>
      </c>
      <c r="J7" s="12" t="s">
        <v>62</v>
      </c>
      <c r="K7" s="12" t="s">
        <v>63</v>
      </c>
      <c r="L7" s="12" t="s">
        <v>28</v>
      </c>
      <c r="M7" s="12" t="s">
        <v>64</v>
      </c>
      <c r="N7" s="12" t="s">
        <v>65</v>
      </c>
      <c r="O7">
        <f t="shared" si="0"/>
        <v>29102</v>
      </c>
      <c r="R7" t="s">
        <v>66</v>
      </c>
      <c r="S7" t="s">
        <v>63</v>
      </c>
    </row>
    <row r="8" spans="1:19">
      <c r="A8" s="2">
        <v>9099</v>
      </c>
      <c r="B8" t="s">
        <v>67</v>
      </c>
      <c r="C8" t="e">
        <v>#N/A</v>
      </c>
      <c r="F8">
        <v>21299</v>
      </c>
      <c r="G8" t="s">
        <v>68</v>
      </c>
      <c r="H8">
        <v>21299</v>
      </c>
      <c r="J8" s="12" t="s">
        <v>69</v>
      </c>
      <c r="K8" s="12" t="s">
        <v>70</v>
      </c>
      <c r="L8" s="12" t="s">
        <v>28</v>
      </c>
      <c r="M8" s="12" t="s">
        <v>71</v>
      </c>
      <c r="N8" s="12" t="s">
        <v>72</v>
      </c>
      <c r="O8">
        <f t="shared" si="0"/>
        <v>29103</v>
      </c>
      <c r="R8" t="s">
        <v>73</v>
      </c>
      <c r="S8" t="s">
        <v>70</v>
      </c>
    </row>
    <row r="9" spans="1:19">
      <c r="A9" s="2">
        <v>10036</v>
      </c>
      <c r="B9" t="s">
        <v>74</v>
      </c>
      <c r="C9" t="e">
        <v>#N/A</v>
      </c>
      <c r="F9">
        <v>10078</v>
      </c>
      <c r="G9" t="s">
        <v>75</v>
      </c>
      <c r="H9">
        <v>10078</v>
      </c>
      <c r="J9" s="12" t="s">
        <v>76</v>
      </c>
      <c r="K9" s="12" t="s">
        <v>77</v>
      </c>
      <c r="L9" s="12" t="s">
        <v>28</v>
      </c>
      <c r="M9" s="12" t="s">
        <v>78</v>
      </c>
      <c r="N9" s="12" t="s">
        <v>79</v>
      </c>
      <c r="O9">
        <f t="shared" si="0"/>
        <v>10057</v>
      </c>
      <c r="R9" t="s">
        <v>80</v>
      </c>
      <c r="S9" t="s">
        <v>77</v>
      </c>
    </row>
    <row r="10" spans="1:19">
      <c r="A10" s="2">
        <v>10040</v>
      </c>
      <c r="B10" t="s">
        <v>81</v>
      </c>
      <c r="C10" t="e">
        <v>#N/A</v>
      </c>
      <c r="F10">
        <v>29056</v>
      </c>
      <c r="G10" t="s">
        <v>82</v>
      </c>
      <c r="H10">
        <v>29056</v>
      </c>
      <c r="J10" s="12" t="s">
        <v>83</v>
      </c>
      <c r="K10" s="12" t="s">
        <v>84</v>
      </c>
      <c r="L10" s="12" t="s">
        <v>28</v>
      </c>
      <c r="M10" s="12" t="s">
        <v>85</v>
      </c>
      <c r="N10" s="12" t="s">
        <v>86</v>
      </c>
      <c r="O10" t="e">
        <f t="shared" si="0"/>
        <v>#N/A</v>
      </c>
      <c r="R10" t="s">
        <v>87</v>
      </c>
      <c r="S10" t="s">
        <v>84</v>
      </c>
    </row>
    <row r="11" spans="1:19">
      <c r="A11" s="2">
        <v>10057</v>
      </c>
      <c r="B11" t="s">
        <v>77</v>
      </c>
      <c r="C11">
        <v>10057</v>
      </c>
      <c r="F11">
        <v>53376</v>
      </c>
      <c r="G11" t="s">
        <v>35</v>
      </c>
      <c r="H11">
        <v>53376</v>
      </c>
      <c r="J11" s="12" t="s">
        <v>83</v>
      </c>
      <c r="K11" s="12" t="s">
        <v>84</v>
      </c>
      <c r="L11" s="12" t="s">
        <v>28</v>
      </c>
      <c r="M11" s="12" t="s">
        <v>88</v>
      </c>
      <c r="N11" s="12" t="s">
        <v>86</v>
      </c>
      <c r="O11" t="e">
        <f t="shared" si="0"/>
        <v>#N/A</v>
      </c>
      <c r="R11" t="s">
        <v>89</v>
      </c>
      <c r="S11" t="s">
        <v>90</v>
      </c>
    </row>
    <row r="12" spans="1:19">
      <c r="A12" s="2">
        <v>10058</v>
      </c>
      <c r="B12" t="s">
        <v>91</v>
      </c>
      <c r="C12">
        <v>10058</v>
      </c>
      <c r="F12">
        <v>16130</v>
      </c>
      <c r="G12" t="s">
        <v>92</v>
      </c>
      <c r="H12">
        <v>16130</v>
      </c>
      <c r="J12" s="12" t="s">
        <v>93</v>
      </c>
      <c r="K12" s="12" t="s">
        <v>90</v>
      </c>
      <c r="L12" s="12" t="s">
        <v>28</v>
      </c>
      <c r="M12" s="12" t="s">
        <v>94</v>
      </c>
      <c r="N12" s="12" t="s">
        <v>95</v>
      </c>
      <c r="O12" t="e">
        <f t="shared" si="0"/>
        <v>#N/A</v>
      </c>
      <c r="R12" t="s">
        <v>96</v>
      </c>
      <c r="S12" t="s">
        <v>97</v>
      </c>
    </row>
    <row r="13" spans="1:19">
      <c r="A13" s="2">
        <v>10061</v>
      </c>
      <c r="B13" t="s">
        <v>98</v>
      </c>
      <c r="C13" t="e">
        <v>#N/A</v>
      </c>
      <c r="F13">
        <v>10200</v>
      </c>
      <c r="G13" t="s">
        <v>42</v>
      </c>
      <c r="H13">
        <v>10200</v>
      </c>
      <c r="J13" s="12" t="s">
        <v>99</v>
      </c>
      <c r="K13" s="12" t="s">
        <v>97</v>
      </c>
      <c r="L13" s="12" t="s">
        <v>28</v>
      </c>
      <c r="M13" s="12" t="s">
        <v>100</v>
      </c>
      <c r="N13" s="12" t="s">
        <v>101</v>
      </c>
      <c r="O13" t="e">
        <f t="shared" si="0"/>
        <v>#N/A</v>
      </c>
      <c r="R13" t="s">
        <v>102</v>
      </c>
      <c r="S13" t="s">
        <v>103</v>
      </c>
    </row>
    <row r="14" spans="1:19">
      <c r="A14" s="2">
        <v>10064</v>
      </c>
      <c r="B14" t="s">
        <v>104</v>
      </c>
      <c r="C14">
        <v>10064</v>
      </c>
      <c r="F14">
        <v>10067</v>
      </c>
      <c r="G14" t="s">
        <v>105</v>
      </c>
      <c r="H14">
        <v>10067</v>
      </c>
      <c r="J14" s="12" t="s">
        <v>106</v>
      </c>
      <c r="K14" s="12" t="s">
        <v>103</v>
      </c>
      <c r="L14" s="12" t="s">
        <v>28</v>
      </c>
      <c r="M14" s="12" t="s">
        <v>107</v>
      </c>
      <c r="N14" s="12" t="s">
        <v>108</v>
      </c>
      <c r="O14" t="e">
        <f t="shared" si="0"/>
        <v>#N/A</v>
      </c>
      <c r="R14" t="s">
        <v>109</v>
      </c>
      <c r="S14" t="s">
        <v>110</v>
      </c>
    </row>
    <row r="15" spans="1:19">
      <c r="A15" s="2">
        <v>10066</v>
      </c>
      <c r="B15" t="s">
        <v>111</v>
      </c>
      <c r="C15">
        <v>10066</v>
      </c>
      <c r="F15">
        <v>10076</v>
      </c>
      <c r="G15" t="s">
        <v>49</v>
      </c>
      <c r="H15">
        <v>10076</v>
      </c>
      <c r="J15" s="12" t="s">
        <v>112</v>
      </c>
      <c r="K15" s="12" t="s">
        <v>113</v>
      </c>
      <c r="L15" s="12" t="s">
        <v>28</v>
      </c>
      <c r="M15" s="12" t="s">
        <v>114</v>
      </c>
      <c r="N15" s="12" t="s">
        <v>115</v>
      </c>
      <c r="O15" t="e">
        <f t="shared" si="0"/>
        <v>#N/A</v>
      </c>
      <c r="R15" t="s">
        <v>116</v>
      </c>
      <c r="S15" t="s">
        <v>117</v>
      </c>
    </row>
    <row r="16" spans="1:19">
      <c r="A16" s="2">
        <v>10067</v>
      </c>
      <c r="B16" t="s">
        <v>105</v>
      </c>
      <c r="C16">
        <v>10067</v>
      </c>
      <c r="F16">
        <v>95426</v>
      </c>
      <c r="G16" t="s">
        <v>118</v>
      </c>
      <c r="H16">
        <v>95426</v>
      </c>
      <c r="J16" s="12" t="s">
        <v>119</v>
      </c>
      <c r="K16" s="12" t="s">
        <v>110</v>
      </c>
      <c r="L16" s="12" t="s">
        <v>28</v>
      </c>
      <c r="M16" s="12" t="s">
        <v>120</v>
      </c>
      <c r="N16" s="12" t="s">
        <v>121</v>
      </c>
      <c r="O16" t="e">
        <f t="shared" si="0"/>
        <v>#N/A</v>
      </c>
      <c r="R16" t="s">
        <v>122</v>
      </c>
      <c r="S16" t="s">
        <v>123</v>
      </c>
    </row>
    <row r="17" spans="1:19">
      <c r="A17" s="2">
        <v>10068</v>
      </c>
      <c r="B17" t="s">
        <v>124</v>
      </c>
      <c r="C17">
        <v>10068</v>
      </c>
      <c r="F17">
        <v>29100</v>
      </c>
      <c r="G17" t="s">
        <v>125</v>
      </c>
      <c r="H17">
        <v>29100</v>
      </c>
      <c r="J17" s="12" t="s">
        <v>126</v>
      </c>
      <c r="K17" s="12" t="s">
        <v>117</v>
      </c>
      <c r="L17" s="12" t="s">
        <v>28</v>
      </c>
      <c r="M17" s="12" t="s">
        <v>127</v>
      </c>
      <c r="N17" s="12" t="s">
        <v>128</v>
      </c>
      <c r="O17" t="e">
        <f t="shared" si="0"/>
        <v>#N/A</v>
      </c>
      <c r="R17" t="s">
        <v>129</v>
      </c>
      <c r="S17" t="s">
        <v>130</v>
      </c>
    </row>
    <row r="18" spans="1:19">
      <c r="A18" s="2">
        <v>10069</v>
      </c>
      <c r="B18" t="s">
        <v>131</v>
      </c>
      <c r="C18">
        <v>10069</v>
      </c>
      <c r="F18">
        <v>29101</v>
      </c>
      <c r="G18" t="s">
        <v>132</v>
      </c>
      <c r="H18">
        <v>29101</v>
      </c>
      <c r="J18" s="12" t="s">
        <v>133</v>
      </c>
      <c r="K18" s="12" t="s">
        <v>123</v>
      </c>
      <c r="L18" s="12" t="s">
        <v>28</v>
      </c>
      <c r="M18" s="12" t="s">
        <v>134</v>
      </c>
      <c r="N18" s="12" t="s">
        <v>135</v>
      </c>
      <c r="O18" t="e">
        <f t="shared" si="0"/>
        <v>#N/A</v>
      </c>
      <c r="R18" t="s">
        <v>136</v>
      </c>
      <c r="S18" t="s">
        <v>137</v>
      </c>
    </row>
    <row r="19" spans="1:19">
      <c r="A19" s="2">
        <v>10071</v>
      </c>
      <c r="B19" t="s">
        <v>138</v>
      </c>
      <c r="C19">
        <v>10071</v>
      </c>
      <c r="F19">
        <v>29102</v>
      </c>
      <c r="G19" t="s">
        <v>63</v>
      </c>
      <c r="H19">
        <v>29102</v>
      </c>
      <c r="J19" s="12" t="s">
        <v>139</v>
      </c>
      <c r="K19" s="12" t="s">
        <v>130</v>
      </c>
      <c r="L19" s="12" t="s">
        <v>28</v>
      </c>
      <c r="M19" s="12" t="s">
        <v>140</v>
      </c>
      <c r="N19" s="12" t="s">
        <v>141</v>
      </c>
      <c r="O19" t="e">
        <f t="shared" si="0"/>
        <v>#N/A</v>
      </c>
      <c r="R19" t="s">
        <v>142</v>
      </c>
      <c r="S19" t="s">
        <v>143</v>
      </c>
    </row>
    <row r="20" spans="1:19">
      <c r="A20" s="2">
        <v>10072</v>
      </c>
      <c r="B20" t="s">
        <v>144</v>
      </c>
      <c r="C20">
        <v>10072</v>
      </c>
      <c r="F20">
        <v>29103</v>
      </c>
      <c r="G20" t="s">
        <v>70</v>
      </c>
      <c r="H20">
        <v>29103</v>
      </c>
      <c r="J20" s="12" t="s">
        <v>145</v>
      </c>
      <c r="K20" s="12" t="s">
        <v>137</v>
      </c>
      <c r="L20" s="12" t="s">
        <v>28</v>
      </c>
      <c r="M20" s="12" t="s">
        <v>146</v>
      </c>
      <c r="N20" s="12" t="s">
        <v>147</v>
      </c>
      <c r="O20" t="e">
        <f t="shared" si="0"/>
        <v>#N/A</v>
      </c>
      <c r="R20" t="s">
        <v>148</v>
      </c>
      <c r="S20" t="s">
        <v>149</v>
      </c>
    </row>
    <row r="21" spans="1:19">
      <c r="A21" s="2">
        <v>10073</v>
      </c>
      <c r="B21" t="s">
        <v>150</v>
      </c>
      <c r="C21">
        <v>10073</v>
      </c>
      <c r="F21">
        <v>10057</v>
      </c>
      <c r="G21" t="s">
        <v>77</v>
      </c>
      <c r="H21">
        <v>10057</v>
      </c>
      <c r="J21" s="12" t="s">
        <v>151</v>
      </c>
      <c r="K21" s="12" t="s">
        <v>143</v>
      </c>
      <c r="L21" s="12" t="s">
        <v>28</v>
      </c>
      <c r="M21" s="12" t="s">
        <v>152</v>
      </c>
      <c r="N21" s="12" t="s">
        <v>153</v>
      </c>
      <c r="O21" t="e">
        <f t="shared" si="0"/>
        <v>#N/A</v>
      </c>
      <c r="R21" t="s">
        <v>154</v>
      </c>
      <c r="S21" t="s">
        <v>155</v>
      </c>
    </row>
    <row r="22" spans="1:19">
      <c r="A22" s="2">
        <v>10074</v>
      </c>
      <c r="B22" t="s">
        <v>156</v>
      </c>
      <c r="C22">
        <v>10074</v>
      </c>
      <c r="F22">
        <v>26223</v>
      </c>
      <c r="G22" t="s">
        <v>157</v>
      </c>
      <c r="H22">
        <v>26223</v>
      </c>
      <c r="J22" s="12" t="s">
        <v>158</v>
      </c>
      <c r="K22" s="12" t="s">
        <v>149</v>
      </c>
      <c r="L22" s="12" t="s">
        <v>28</v>
      </c>
      <c r="M22" s="12" t="s">
        <v>159</v>
      </c>
      <c r="N22" s="12" t="s">
        <v>160</v>
      </c>
      <c r="O22" t="e">
        <f t="shared" si="0"/>
        <v>#N/A</v>
      </c>
      <c r="R22" t="s">
        <v>161</v>
      </c>
      <c r="S22" t="s">
        <v>162</v>
      </c>
    </row>
    <row r="23" spans="1:19">
      <c r="A23" s="2">
        <v>10076</v>
      </c>
      <c r="B23" t="s">
        <v>163</v>
      </c>
      <c r="C23" t="e">
        <v>#N/A</v>
      </c>
      <c r="F23">
        <v>10927</v>
      </c>
      <c r="G23" t="s">
        <v>164</v>
      </c>
      <c r="H23">
        <v>10927</v>
      </c>
      <c r="J23" s="12" t="s">
        <v>165</v>
      </c>
      <c r="K23" s="12" t="s">
        <v>149</v>
      </c>
      <c r="L23" s="12" t="s">
        <v>166</v>
      </c>
      <c r="M23" s="12" t="s">
        <v>167</v>
      </c>
      <c r="N23" s="12" t="s">
        <v>168</v>
      </c>
      <c r="O23" t="e">
        <f t="shared" si="0"/>
        <v>#N/A</v>
      </c>
      <c r="R23" t="s">
        <v>169</v>
      </c>
      <c r="S23" t="s">
        <v>170</v>
      </c>
    </row>
    <row r="24" spans="1:19">
      <c r="A24" s="2">
        <v>10078</v>
      </c>
      <c r="B24" t="s">
        <v>171</v>
      </c>
      <c r="C24" t="e">
        <v>#N/A</v>
      </c>
      <c r="F24" s="9">
        <v>80310</v>
      </c>
      <c r="G24" t="s">
        <v>172</v>
      </c>
      <c r="H24" s="9">
        <v>80310</v>
      </c>
      <c r="J24" s="12" t="s">
        <v>173</v>
      </c>
      <c r="K24" s="12" t="s">
        <v>155</v>
      </c>
      <c r="L24" s="12" t="s">
        <v>28</v>
      </c>
      <c r="M24" s="12" t="s">
        <v>174</v>
      </c>
      <c r="N24" s="12" t="s">
        <v>175</v>
      </c>
      <c r="O24" t="e">
        <f t="shared" si="0"/>
        <v>#N/A</v>
      </c>
      <c r="R24" t="s">
        <v>176</v>
      </c>
      <c r="S24" t="s">
        <v>177</v>
      </c>
    </row>
    <row r="25" spans="1:19">
      <c r="A25" s="2">
        <v>10079</v>
      </c>
      <c r="B25" t="s">
        <v>178</v>
      </c>
      <c r="C25">
        <v>10079</v>
      </c>
      <c r="F25">
        <v>12153</v>
      </c>
      <c r="G25" t="s">
        <v>179</v>
      </c>
      <c r="H25">
        <v>12153</v>
      </c>
      <c r="J25" s="12" t="s">
        <v>180</v>
      </c>
      <c r="K25" s="12" t="s">
        <v>162</v>
      </c>
      <c r="L25" s="12" t="s">
        <v>28</v>
      </c>
      <c r="M25" s="12" t="s">
        <v>181</v>
      </c>
      <c r="N25" s="12" t="s">
        <v>182</v>
      </c>
      <c r="O25" t="e">
        <f t="shared" si="0"/>
        <v>#N/A</v>
      </c>
      <c r="R25" t="s">
        <v>183</v>
      </c>
      <c r="S25" t="s">
        <v>184</v>
      </c>
    </row>
    <row r="26" spans="1:19">
      <c r="A26" s="2">
        <v>10092</v>
      </c>
      <c r="B26" t="s">
        <v>185</v>
      </c>
      <c r="C26">
        <v>10092</v>
      </c>
      <c r="F26">
        <v>10320</v>
      </c>
      <c r="G26" t="s">
        <v>186</v>
      </c>
      <c r="H26">
        <v>10320</v>
      </c>
      <c r="J26" s="12" t="s">
        <v>165</v>
      </c>
      <c r="K26" s="12" t="s">
        <v>162</v>
      </c>
      <c r="L26" s="12" t="s">
        <v>166</v>
      </c>
      <c r="M26" s="12" t="s">
        <v>187</v>
      </c>
      <c r="N26" s="12" t="s">
        <v>188</v>
      </c>
      <c r="O26" t="e">
        <f t="shared" si="0"/>
        <v>#N/A</v>
      </c>
      <c r="R26" t="s">
        <v>189</v>
      </c>
      <c r="S26" t="s">
        <v>164</v>
      </c>
    </row>
    <row r="27" spans="1:19">
      <c r="A27" s="2">
        <v>10109</v>
      </c>
      <c r="B27" t="s">
        <v>190</v>
      </c>
      <c r="C27" t="e">
        <v>#N/A</v>
      </c>
      <c r="F27">
        <v>10072</v>
      </c>
      <c r="G27" t="s">
        <v>144</v>
      </c>
      <c r="H27">
        <v>10072</v>
      </c>
      <c r="J27" s="12" t="s">
        <v>191</v>
      </c>
      <c r="K27" s="12" t="s">
        <v>162</v>
      </c>
      <c r="L27" s="12" t="s">
        <v>166</v>
      </c>
      <c r="M27" s="12" t="s">
        <v>192</v>
      </c>
      <c r="N27" s="12" t="s">
        <v>193</v>
      </c>
      <c r="O27" t="e">
        <f t="shared" si="0"/>
        <v>#N/A</v>
      </c>
      <c r="R27" t="s">
        <v>194</v>
      </c>
      <c r="S27" t="s">
        <v>172</v>
      </c>
    </row>
    <row r="28" spans="1:19">
      <c r="A28" s="2">
        <v>10120</v>
      </c>
      <c r="B28" t="s">
        <v>195</v>
      </c>
      <c r="C28">
        <v>10120</v>
      </c>
      <c r="F28">
        <v>16015</v>
      </c>
      <c r="G28" t="s">
        <v>196</v>
      </c>
      <c r="H28">
        <v>16015</v>
      </c>
      <c r="J28" s="12" t="s">
        <v>197</v>
      </c>
      <c r="K28" s="12" t="s">
        <v>170</v>
      </c>
      <c r="L28" s="12" t="s">
        <v>28</v>
      </c>
      <c r="M28" s="12" t="s">
        <v>198</v>
      </c>
      <c r="N28" s="12" t="s">
        <v>199</v>
      </c>
      <c r="O28" t="e">
        <f t="shared" si="0"/>
        <v>#N/A</v>
      </c>
      <c r="R28" t="s">
        <v>200</v>
      </c>
      <c r="S28" t="s">
        <v>201</v>
      </c>
    </row>
    <row r="29" spans="1:19">
      <c r="A29" s="2">
        <v>10121</v>
      </c>
      <c r="B29" t="s">
        <v>202</v>
      </c>
      <c r="C29">
        <v>10121</v>
      </c>
      <c r="F29">
        <v>56078</v>
      </c>
      <c r="G29" t="s">
        <v>203</v>
      </c>
      <c r="H29">
        <v>56078</v>
      </c>
      <c r="J29" s="12" t="s">
        <v>204</v>
      </c>
      <c r="K29" s="12" t="s">
        <v>177</v>
      </c>
      <c r="L29" s="12" t="s">
        <v>28</v>
      </c>
      <c r="M29" s="12" t="s">
        <v>205</v>
      </c>
      <c r="N29" s="12" t="s">
        <v>206</v>
      </c>
      <c r="O29" t="e">
        <f t="shared" si="0"/>
        <v>#N/A</v>
      </c>
      <c r="R29" t="s">
        <v>207</v>
      </c>
      <c r="S29" t="s">
        <v>208</v>
      </c>
    </row>
    <row r="30" spans="1:19">
      <c r="A30" s="2">
        <v>10122</v>
      </c>
      <c r="B30" t="s">
        <v>209</v>
      </c>
      <c r="C30">
        <v>10122</v>
      </c>
      <c r="F30">
        <v>89264</v>
      </c>
      <c r="G30" t="s">
        <v>210</v>
      </c>
      <c r="H30">
        <v>89264</v>
      </c>
      <c r="J30" s="12" t="s">
        <v>211</v>
      </c>
      <c r="K30" s="12" t="s">
        <v>184</v>
      </c>
      <c r="L30" s="12" t="s">
        <v>28</v>
      </c>
      <c r="M30" s="12" t="s">
        <v>212</v>
      </c>
      <c r="N30" s="12" t="s">
        <v>213</v>
      </c>
      <c r="O30" t="e">
        <f t="shared" si="0"/>
        <v>#N/A</v>
      </c>
      <c r="R30" t="s">
        <v>214</v>
      </c>
      <c r="S30" t="s">
        <v>186</v>
      </c>
    </row>
    <row r="31" spans="1:19">
      <c r="A31" s="2">
        <v>10123</v>
      </c>
      <c r="B31" t="s">
        <v>215</v>
      </c>
      <c r="C31">
        <v>10123</v>
      </c>
      <c r="F31">
        <v>14110</v>
      </c>
      <c r="G31" t="s">
        <v>216</v>
      </c>
      <c r="H31">
        <v>14110</v>
      </c>
      <c r="J31" s="12" t="s">
        <v>217</v>
      </c>
      <c r="K31" s="12" t="s">
        <v>218</v>
      </c>
      <c r="L31" s="12" t="s">
        <v>28</v>
      </c>
      <c r="M31" s="12" t="s">
        <v>219</v>
      </c>
      <c r="N31" s="12" t="s">
        <v>220</v>
      </c>
      <c r="O31" t="e">
        <f t="shared" si="0"/>
        <v>#N/A</v>
      </c>
      <c r="R31" t="s">
        <v>221</v>
      </c>
      <c r="S31" t="s">
        <v>144</v>
      </c>
    </row>
    <row r="32" spans="1:19">
      <c r="A32" s="2">
        <v>10135</v>
      </c>
      <c r="B32" t="s">
        <v>222</v>
      </c>
      <c r="C32" t="e">
        <v>#N/A</v>
      </c>
      <c r="F32">
        <v>16025</v>
      </c>
      <c r="G32" t="s">
        <v>223</v>
      </c>
      <c r="H32">
        <v>16025</v>
      </c>
      <c r="J32" s="12" t="s">
        <v>224</v>
      </c>
      <c r="K32" s="12" t="s">
        <v>164</v>
      </c>
      <c r="L32" s="12" t="s">
        <v>28</v>
      </c>
      <c r="M32" s="12" t="s">
        <v>225</v>
      </c>
      <c r="N32" s="12" t="s">
        <v>226</v>
      </c>
      <c r="O32">
        <f t="shared" si="0"/>
        <v>10927</v>
      </c>
      <c r="R32" t="s">
        <v>227</v>
      </c>
      <c r="S32" t="s">
        <v>196</v>
      </c>
    </row>
    <row r="33" spans="1:19">
      <c r="A33" s="2">
        <v>10145</v>
      </c>
      <c r="B33" t="s">
        <v>228</v>
      </c>
      <c r="C33">
        <v>10145</v>
      </c>
      <c r="F33">
        <v>10079</v>
      </c>
      <c r="G33" t="s">
        <v>178</v>
      </c>
      <c r="H33">
        <v>10079</v>
      </c>
      <c r="J33" s="12" t="s">
        <v>229</v>
      </c>
      <c r="K33" s="12" t="s">
        <v>172</v>
      </c>
      <c r="L33" s="12" t="s">
        <v>28</v>
      </c>
      <c r="M33" s="12" t="s">
        <v>230</v>
      </c>
      <c r="N33" s="12" t="s">
        <v>231</v>
      </c>
      <c r="O33">
        <f t="shared" si="0"/>
        <v>80310</v>
      </c>
      <c r="R33" t="s">
        <v>232</v>
      </c>
      <c r="S33" t="s">
        <v>195</v>
      </c>
    </row>
    <row r="34" spans="1:19">
      <c r="A34" s="2">
        <v>10200</v>
      </c>
      <c r="B34" t="s">
        <v>42</v>
      </c>
      <c r="C34">
        <v>10200</v>
      </c>
      <c r="F34">
        <v>26351</v>
      </c>
      <c r="G34" t="s">
        <v>233</v>
      </c>
      <c r="H34">
        <v>26351</v>
      </c>
      <c r="J34" s="12" t="s">
        <v>234</v>
      </c>
      <c r="K34" s="12" t="s">
        <v>201</v>
      </c>
      <c r="L34" s="12" t="s">
        <v>28</v>
      </c>
      <c r="M34" s="12" t="s">
        <v>235</v>
      </c>
      <c r="N34" s="12" t="s">
        <v>236</v>
      </c>
      <c r="O34" t="e">
        <f t="shared" si="0"/>
        <v>#N/A</v>
      </c>
      <c r="R34" t="s">
        <v>237</v>
      </c>
      <c r="S34" t="s">
        <v>238</v>
      </c>
    </row>
    <row r="35" spans="1:19">
      <c r="A35" s="2">
        <v>10230</v>
      </c>
      <c r="B35" t="s">
        <v>239</v>
      </c>
      <c r="C35">
        <v>10230</v>
      </c>
      <c r="F35">
        <v>10120</v>
      </c>
      <c r="G35" t="s">
        <v>195</v>
      </c>
      <c r="H35">
        <v>10120</v>
      </c>
      <c r="J35" s="12" t="s">
        <v>240</v>
      </c>
      <c r="K35" s="12" t="s">
        <v>208</v>
      </c>
      <c r="L35" s="12" t="s">
        <v>28</v>
      </c>
      <c r="M35" s="12" t="s">
        <v>241</v>
      </c>
      <c r="N35" s="12" t="s">
        <v>242</v>
      </c>
      <c r="O35" t="e">
        <f t="shared" si="0"/>
        <v>#N/A</v>
      </c>
      <c r="R35" t="s">
        <v>243</v>
      </c>
      <c r="S35" t="s">
        <v>124</v>
      </c>
    </row>
    <row r="36" spans="1:19">
      <c r="A36" s="2">
        <v>10320</v>
      </c>
      <c r="B36" t="s">
        <v>186</v>
      </c>
      <c r="C36">
        <v>10320</v>
      </c>
      <c r="F36">
        <v>39000</v>
      </c>
      <c r="G36" t="s">
        <v>244</v>
      </c>
      <c r="H36">
        <v>39000</v>
      </c>
      <c r="J36" s="12" t="s">
        <v>245</v>
      </c>
      <c r="K36" s="12" t="s">
        <v>186</v>
      </c>
      <c r="L36" s="12" t="s">
        <v>28</v>
      </c>
      <c r="M36" s="12" t="s">
        <v>246</v>
      </c>
      <c r="N36" s="12" t="s">
        <v>247</v>
      </c>
      <c r="O36">
        <f t="shared" si="0"/>
        <v>10320</v>
      </c>
      <c r="R36" t="s">
        <v>248</v>
      </c>
      <c r="S36" t="s">
        <v>249</v>
      </c>
    </row>
    <row r="37" spans="1:19">
      <c r="A37" s="2">
        <v>10321</v>
      </c>
      <c r="B37" t="s">
        <v>250</v>
      </c>
      <c r="C37">
        <v>10321</v>
      </c>
      <c r="F37">
        <v>26121</v>
      </c>
      <c r="G37" t="s">
        <v>251</v>
      </c>
      <c r="H37">
        <v>26121</v>
      </c>
      <c r="J37" s="12" t="s">
        <v>252</v>
      </c>
      <c r="K37" s="12" t="s">
        <v>144</v>
      </c>
      <c r="L37" s="12" t="s">
        <v>28</v>
      </c>
      <c r="M37" s="12" t="s">
        <v>253</v>
      </c>
      <c r="N37" s="12" t="s">
        <v>254</v>
      </c>
      <c r="O37">
        <f t="shared" si="0"/>
        <v>10072</v>
      </c>
      <c r="R37" t="s">
        <v>255</v>
      </c>
      <c r="S37" t="s">
        <v>256</v>
      </c>
    </row>
    <row r="38" spans="1:19">
      <c r="A38" s="2">
        <v>10322</v>
      </c>
      <c r="B38" t="s">
        <v>257</v>
      </c>
      <c r="C38">
        <v>10322</v>
      </c>
      <c r="F38">
        <v>21045</v>
      </c>
      <c r="G38" t="s">
        <v>258</v>
      </c>
      <c r="H38">
        <v>21045</v>
      </c>
      <c r="J38" s="12" t="s">
        <v>259</v>
      </c>
      <c r="K38" s="12" t="s">
        <v>196</v>
      </c>
      <c r="L38" s="12" t="s">
        <v>28</v>
      </c>
      <c r="M38" s="12" t="s">
        <v>260</v>
      </c>
      <c r="N38" s="12" t="s">
        <v>261</v>
      </c>
      <c r="O38">
        <f t="shared" si="0"/>
        <v>16015</v>
      </c>
      <c r="R38" t="s">
        <v>262</v>
      </c>
      <c r="S38" t="s">
        <v>257</v>
      </c>
    </row>
    <row r="39" spans="1:19">
      <c r="A39" s="2">
        <v>10635</v>
      </c>
      <c r="B39" t="s">
        <v>263</v>
      </c>
      <c r="C39">
        <v>10635</v>
      </c>
      <c r="F39">
        <v>12115</v>
      </c>
      <c r="G39" t="s">
        <v>264</v>
      </c>
      <c r="H39">
        <v>12115</v>
      </c>
      <c r="J39" s="12" t="s">
        <v>265</v>
      </c>
      <c r="K39" s="12" t="s">
        <v>195</v>
      </c>
      <c r="L39" s="12" t="s">
        <v>28</v>
      </c>
      <c r="M39" s="12" t="s">
        <v>266</v>
      </c>
      <c r="N39" s="12" t="s">
        <v>267</v>
      </c>
      <c r="O39">
        <f t="shared" si="0"/>
        <v>10120</v>
      </c>
      <c r="R39" t="s">
        <v>268</v>
      </c>
      <c r="S39" t="s">
        <v>209</v>
      </c>
    </row>
    <row r="40" spans="1:19">
      <c r="A40" s="2">
        <v>10907</v>
      </c>
      <c r="B40" t="s">
        <v>269</v>
      </c>
      <c r="C40" t="e">
        <v>#N/A</v>
      </c>
      <c r="F40">
        <v>15170</v>
      </c>
      <c r="G40" t="s">
        <v>270</v>
      </c>
      <c r="H40">
        <v>15170</v>
      </c>
      <c r="J40" s="12" t="s">
        <v>271</v>
      </c>
      <c r="K40" s="12" t="s">
        <v>238</v>
      </c>
      <c r="L40" s="12" t="s">
        <v>28</v>
      </c>
      <c r="M40" s="12" t="s">
        <v>272</v>
      </c>
      <c r="N40" s="12" t="s">
        <v>273</v>
      </c>
      <c r="O40" t="e">
        <f t="shared" si="0"/>
        <v>#N/A</v>
      </c>
      <c r="R40" t="s">
        <v>274</v>
      </c>
      <c r="S40" t="s">
        <v>275</v>
      </c>
    </row>
    <row r="41" spans="1:19">
      <c r="A41" s="2">
        <v>10927</v>
      </c>
      <c r="B41" t="s">
        <v>164</v>
      </c>
      <c r="C41">
        <v>10927</v>
      </c>
      <c r="F41">
        <v>10068</v>
      </c>
      <c r="G41" t="s">
        <v>124</v>
      </c>
      <c r="H41">
        <v>10068</v>
      </c>
      <c r="J41" s="12" t="s">
        <v>165</v>
      </c>
      <c r="K41" s="12" t="s">
        <v>238</v>
      </c>
      <c r="L41" s="12" t="s">
        <v>166</v>
      </c>
      <c r="M41" s="12" t="s">
        <v>276</v>
      </c>
      <c r="N41" s="12" t="s">
        <v>277</v>
      </c>
      <c r="O41" t="e">
        <f t="shared" si="0"/>
        <v>#N/A</v>
      </c>
      <c r="R41" t="s">
        <v>278</v>
      </c>
      <c r="S41" t="s">
        <v>279</v>
      </c>
    </row>
    <row r="42" spans="1:19">
      <c r="A42" s="2">
        <v>10958</v>
      </c>
      <c r="B42" t="s">
        <v>280</v>
      </c>
      <c r="C42" t="e">
        <v>#N/A</v>
      </c>
      <c r="F42">
        <v>55989</v>
      </c>
      <c r="G42" t="s">
        <v>249</v>
      </c>
      <c r="H42">
        <v>55989</v>
      </c>
      <c r="J42" s="12" t="s">
        <v>281</v>
      </c>
      <c r="K42" s="12" t="s">
        <v>264</v>
      </c>
      <c r="L42" s="12" t="s">
        <v>28</v>
      </c>
      <c r="M42" s="12" t="s">
        <v>282</v>
      </c>
      <c r="N42" s="12" t="s">
        <v>283</v>
      </c>
      <c r="O42">
        <f t="shared" si="0"/>
        <v>12115</v>
      </c>
      <c r="R42" t="s">
        <v>284</v>
      </c>
      <c r="S42" t="s">
        <v>285</v>
      </c>
    </row>
    <row r="43" spans="1:19">
      <c r="A43" s="2">
        <v>12033</v>
      </c>
      <c r="B43" t="s">
        <v>286</v>
      </c>
      <c r="C43" t="e">
        <v>#N/A</v>
      </c>
      <c r="F43">
        <v>10907</v>
      </c>
      <c r="G43" t="s">
        <v>287</v>
      </c>
      <c r="H43">
        <v>10907</v>
      </c>
      <c r="J43" s="12" t="s">
        <v>288</v>
      </c>
      <c r="K43" s="12" t="s">
        <v>124</v>
      </c>
      <c r="L43" s="12" t="s">
        <v>28</v>
      </c>
      <c r="M43" s="12" t="s">
        <v>289</v>
      </c>
      <c r="N43" s="12" t="s">
        <v>290</v>
      </c>
      <c r="O43">
        <f t="shared" si="0"/>
        <v>10068</v>
      </c>
      <c r="R43" t="s">
        <v>291</v>
      </c>
      <c r="S43" t="s">
        <v>292</v>
      </c>
    </row>
    <row r="44" spans="1:19">
      <c r="A44" s="2">
        <v>12035</v>
      </c>
      <c r="B44" t="s">
        <v>54</v>
      </c>
      <c r="C44">
        <v>12035</v>
      </c>
      <c r="F44">
        <v>10064</v>
      </c>
      <c r="G44" t="s">
        <v>104</v>
      </c>
      <c r="H44">
        <v>10064</v>
      </c>
      <c r="J44" s="12" t="s">
        <v>293</v>
      </c>
      <c r="K44" s="12" t="s">
        <v>249</v>
      </c>
      <c r="L44" s="12" t="s">
        <v>28</v>
      </c>
      <c r="M44" s="12" t="s">
        <v>294</v>
      </c>
      <c r="N44" s="12" t="s">
        <v>295</v>
      </c>
      <c r="O44">
        <f t="shared" si="0"/>
        <v>55989</v>
      </c>
      <c r="R44" t="s">
        <v>296</v>
      </c>
      <c r="S44" t="s">
        <v>297</v>
      </c>
    </row>
    <row r="45" spans="1:19">
      <c r="A45" s="2">
        <v>12036</v>
      </c>
      <c r="B45" t="s">
        <v>298</v>
      </c>
      <c r="C45" t="e">
        <v>#N/A</v>
      </c>
      <c r="F45">
        <v>10322</v>
      </c>
      <c r="G45" t="s">
        <v>257</v>
      </c>
      <c r="H45">
        <v>10322</v>
      </c>
      <c r="J45" s="12" t="s">
        <v>299</v>
      </c>
      <c r="K45" s="12" t="s">
        <v>256</v>
      </c>
      <c r="L45" s="12" t="s">
        <v>28</v>
      </c>
      <c r="M45" s="12" t="s">
        <v>300</v>
      </c>
      <c r="N45" s="12" t="s">
        <v>301</v>
      </c>
      <c r="O45" t="e">
        <f t="shared" si="0"/>
        <v>#N/A</v>
      </c>
      <c r="R45" t="s">
        <v>302</v>
      </c>
      <c r="S45" t="s">
        <v>303</v>
      </c>
    </row>
    <row r="46" spans="1:19">
      <c r="A46" s="2">
        <v>12073</v>
      </c>
      <c r="B46" t="s">
        <v>304</v>
      </c>
      <c r="C46" t="e">
        <v>#N/A</v>
      </c>
      <c r="F46">
        <v>14120</v>
      </c>
      <c r="G46" t="s">
        <v>305</v>
      </c>
      <c r="H46">
        <v>14120</v>
      </c>
      <c r="J46" s="12" t="s">
        <v>306</v>
      </c>
      <c r="K46" s="12" t="s">
        <v>257</v>
      </c>
      <c r="L46" s="12" t="s">
        <v>28</v>
      </c>
      <c r="M46" s="12" t="s">
        <v>307</v>
      </c>
      <c r="N46" s="12" t="s">
        <v>308</v>
      </c>
      <c r="O46">
        <f t="shared" si="0"/>
        <v>10322</v>
      </c>
      <c r="R46" t="s">
        <v>309</v>
      </c>
      <c r="S46" t="s">
        <v>310</v>
      </c>
    </row>
    <row r="47" spans="1:19">
      <c r="A47" s="2">
        <v>12115</v>
      </c>
      <c r="B47" t="s">
        <v>264</v>
      </c>
      <c r="C47">
        <v>12115</v>
      </c>
      <c r="F47">
        <v>10122</v>
      </c>
      <c r="G47" t="s">
        <v>209</v>
      </c>
      <c r="H47">
        <v>10122</v>
      </c>
      <c r="J47" s="12" t="s">
        <v>311</v>
      </c>
      <c r="K47" s="12" t="s">
        <v>257</v>
      </c>
      <c r="L47" s="12" t="s">
        <v>166</v>
      </c>
      <c r="M47" s="12" t="s">
        <v>312</v>
      </c>
      <c r="N47" s="12" t="s">
        <v>313</v>
      </c>
      <c r="O47">
        <f t="shared" si="0"/>
        <v>10322</v>
      </c>
      <c r="R47" t="s">
        <v>314</v>
      </c>
      <c r="S47" t="s">
        <v>315</v>
      </c>
    </row>
    <row r="48" spans="1:19">
      <c r="A48" s="2">
        <v>12121</v>
      </c>
      <c r="B48" t="s">
        <v>316</v>
      </c>
      <c r="C48">
        <v>12121</v>
      </c>
      <c r="F48">
        <v>84012</v>
      </c>
      <c r="G48" t="s">
        <v>317</v>
      </c>
      <c r="H48">
        <v>84012</v>
      </c>
      <c r="J48" s="12" t="s">
        <v>318</v>
      </c>
      <c r="K48" s="12" t="s">
        <v>209</v>
      </c>
      <c r="L48" s="12" t="s">
        <v>28</v>
      </c>
      <c r="M48" s="12" t="s">
        <v>319</v>
      </c>
      <c r="N48" s="12" t="s">
        <v>320</v>
      </c>
      <c r="O48">
        <f t="shared" si="0"/>
        <v>10122</v>
      </c>
      <c r="R48" t="s">
        <v>321</v>
      </c>
      <c r="S48" t="s">
        <v>322</v>
      </c>
    </row>
    <row r="49" spans="1:19">
      <c r="A49" s="2">
        <v>12122</v>
      </c>
      <c r="B49" t="s">
        <v>323</v>
      </c>
      <c r="C49">
        <v>12122</v>
      </c>
      <c r="F49">
        <v>55484</v>
      </c>
      <c r="G49" t="s">
        <v>324</v>
      </c>
      <c r="H49">
        <v>55484</v>
      </c>
      <c r="J49" s="12" t="s">
        <v>325</v>
      </c>
      <c r="K49" s="12" t="s">
        <v>326</v>
      </c>
      <c r="L49" s="12" t="s">
        <v>28</v>
      </c>
      <c r="M49" s="12" t="s">
        <v>327</v>
      </c>
      <c r="N49" s="12" t="s">
        <v>328</v>
      </c>
      <c r="O49">
        <f t="shared" si="0"/>
        <v>55486</v>
      </c>
      <c r="R49" t="s">
        <v>329</v>
      </c>
      <c r="S49" t="s">
        <v>330</v>
      </c>
    </row>
    <row r="50" spans="1:19">
      <c r="A50" s="2">
        <v>12150</v>
      </c>
      <c r="B50" t="s">
        <v>331</v>
      </c>
      <c r="C50">
        <v>12150</v>
      </c>
      <c r="F50">
        <v>55485</v>
      </c>
      <c r="G50" t="s">
        <v>332</v>
      </c>
      <c r="H50">
        <v>55485</v>
      </c>
      <c r="J50" s="12" t="s">
        <v>333</v>
      </c>
      <c r="K50" s="12" t="s">
        <v>275</v>
      </c>
      <c r="L50" s="12" t="s">
        <v>28</v>
      </c>
      <c r="M50" s="12" t="s">
        <v>334</v>
      </c>
      <c r="N50" s="12" t="s">
        <v>335</v>
      </c>
      <c r="O50">
        <f t="shared" si="0"/>
        <v>12154</v>
      </c>
      <c r="R50" t="s">
        <v>336</v>
      </c>
      <c r="S50" t="s">
        <v>337</v>
      </c>
    </row>
    <row r="51" spans="1:19">
      <c r="A51" s="2">
        <v>12153</v>
      </c>
      <c r="B51" t="s">
        <v>179</v>
      </c>
      <c r="C51">
        <v>12153</v>
      </c>
      <c r="F51">
        <v>55486</v>
      </c>
      <c r="G51" t="s">
        <v>326</v>
      </c>
      <c r="H51">
        <v>55486</v>
      </c>
      <c r="J51" s="12" t="s">
        <v>338</v>
      </c>
      <c r="K51" s="12" t="s">
        <v>279</v>
      </c>
      <c r="L51" s="12" t="s">
        <v>28</v>
      </c>
      <c r="M51" s="12" t="s">
        <v>339</v>
      </c>
      <c r="N51" s="12" t="s">
        <v>340</v>
      </c>
      <c r="O51">
        <f t="shared" si="0"/>
        <v>54999</v>
      </c>
      <c r="R51" t="s">
        <v>341</v>
      </c>
      <c r="S51" t="s">
        <v>342</v>
      </c>
    </row>
    <row r="52" spans="1:19">
      <c r="A52" s="2">
        <v>12154</v>
      </c>
      <c r="B52" t="s">
        <v>275</v>
      </c>
      <c r="C52">
        <v>12154</v>
      </c>
      <c r="F52">
        <v>16010</v>
      </c>
      <c r="G52" t="s">
        <v>343</v>
      </c>
      <c r="H52">
        <v>16010</v>
      </c>
      <c r="J52" s="12" t="s">
        <v>344</v>
      </c>
      <c r="K52" s="12" t="s">
        <v>285</v>
      </c>
      <c r="L52" s="12" t="s">
        <v>28</v>
      </c>
      <c r="M52" s="12" t="s">
        <v>345</v>
      </c>
      <c r="N52" s="12" t="s">
        <v>346</v>
      </c>
      <c r="O52" t="e">
        <f t="shared" si="0"/>
        <v>#N/A</v>
      </c>
      <c r="R52" t="s">
        <v>347</v>
      </c>
      <c r="S52" t="s">
        <v>348</v>
      </c>
    </row>
    <row r="53" spans="1:19">
      <c r="A53" s="2">
        <v>12157</v>
      </c>
      <c r="B53" t="s">
        <v>349</v>
      </c>
      <c r="C53" t="e">
        <v>#N/A</v>
      </c>
      <c r="F53">
        <v>21291</v>
      </c>
      <c r="G53" t="s">
        <v>350</v>
      </c>
      <c r="H53">
        <v>21291</v>
      </c>
      <c r="J53" s="12" t="s">
        <v>351</v>
      </c>
      <c r="K53" s="12" t="s">
        <v>292</v>
      </c>
      <c r="L53" s="12" t="s">
        <v>28</v>
      </c>
      <c r="M53" s="12" t="s">
        <v>352</v>
      </c>
      <c r="N53" s="12" t="s">
        <v>353</v>
      </c>
      <c r="O53" t="e">
        <f t="shared" si="0"/>
        <v>#N/A</v>
      </c>
      <c r="R53" s="12" t="s">
        <v>354</v>
      </c>
      <c r="S53" s="12" t="s">
        <v>355</v>
      </c>
    </row>
    <row r="54" spans="1:19">
      <c r="A54" s="2">
        <v>12159</v>
      </c>
      <c r="B54" t="s">
        <v>303</v>
      </c>
      <c r="C54" t="e">
        <v>#N/A</v>
      </c>
      <c r="F54">
        <v>12154</v>
      </c>
      <c r="G54" t="s">
        <v>275</v>
      </c>
      <c r="H54">
        <v>12154</v>
      </c>
      <c r="J54" s="12" t="s">
        <v>356</v>
      </c>
      <c r="K54" s="12" t="s">
        <v>297</v>
      </c>
      <c r="L54" s="12" t="s">
        <v>28</v>
      </c>
      <c r="M54" s="12" t="s">
        <v>357</v>
      </c>
      <c r="N54" s="12" t="s">
        <v>358</v>
      </c>
      <c r="O54" t="e">
        <f t="shared" si="0"/>
        <v>#N/A</v>
      </c>
      <c r="R54" t="s">
        <v>359</v>
      </c>
      <c r="S54" t="s">
        <v>156</v>
      </c>
    </row>
    <row r="55" spans="1:19">
      <c r="A55" s="2">
        <v>12165</v>
      </c>
      <c r="B55" t="s">
        <v>330</v>
      </c>
      <c r="C55" t="e">
        <v>#N/A</v>
      </c>
      <c r="F55">
        <v>54999</v>
      </c>
      <c r="G55" t="s">
        <v>279</v>
      </c>
      <c r="H55">
        <v>54999</v>
      </c>
      <c r="J55" s="12" t="s">
        <v>360</v>
      </c>
      <c r="K55" s="12" t="s">
        <v>303</v>
      </c>
      <c r="L55" s="12" t="s">
        <v>28</v>
      </c>
      <c r="M55" s="12" t="s">
        <v>361</v>
      </c>
      <c r="N55" s="12" t="s">
        <v>362</v>
      </c>
      <c r="O55">
        <f t="shared" si="0"/>
        <v>12159</v>
      </c>
      <c r="R55" t="s">
        <v>363</v>
      </c>
      <c r="S55" t="s">
        <v>364</v>
      </c>
    </row>
    <row r="56" spans="1:19">
      <c r="A56" s="2">
        <v>12260</v>
      </c>
      <c r="B56" t="s">
        <v>365</v>
      </c>
      <c r="C56">
        <v>12260</v>
      </c>
      <c r="F56">
        <v>21235</v>
      </c>
      <c r="G56" t="s">
        <v>366</v>
      </c>
      <c r="H56">
        <v>21235</v>
      </c>
      <c r="J56" s="12" t="s">
        <v>367</v>
      </c>
      <c r="K56" s="12" t="s">
        <v>310</v>
      </c>
      <c r="L56" s="12" t="s">
        <v>28</v>
      </c>
      <c r="M56" s="12" t="s">
        <v>368</v>
      </c>
      <c r="N56" s="12" t="s">
        <v>369</v>
      </c>
      <c r="O56">
        <f t="shared" si="0"/>
        <v>16115</v>
      </c>
      <c r="R56" t="s">
        <v>370</v>
      </c>
      <c r="S56" t="s">
        <v>371</v>
      </c>
    </row>
    <row r="57" spans="1:19">
      <c r="A57" s="2">
        <v>14055</v>
      </c>
      <c r="B57" t="s">
        <v>372</v>
      </c>
      <c r="C57">
        <v>14055</v>
      </c>
      <c r="F57">
        <v>14055</v>
      </c>
      <c r="G57" t="s">
        <v>372</v>
      </c>
      <c r="H57">
        <v>14055</v>
      </c>
      <c r="J57" s="12" t="s">
        <v>373</v>
      </c>
      <c r="K57" s="12" t="s">
        <v>315</v>
      </c>
      <c r="L57" s="12" t="s">
        <v>28</v>
      </c>
      <c r="M57" s="12" t="s">
        <v>374</v>
      </c>
      <c r="N57" s="12" t="s">
        <v>375</v>
      </c>
      <c r="O57" t="e">
        <f t="shared" si="0"/>
        <v>#N/A</v>
      </c>
      <c r="R57" t="s">
        <v>376</v>
      </c>
      <c r="S57" t="s">
        <v>150</v>
      </c>
    </row>
    <row r="58" spans="1:19">
      <c r="A58" s="2">
        <v>14056</v>
      </c>
      <c r="B58" t="s">
        <v>377</v>
      </c>
      <c r="C58" t="e">
        <v>#N/A</v>
      </c>
      <c r="F58">
        <v>21321</v>
      </c>
      <c r="G58" t="s">
        <v>378</v>
      </c>
      <c r="H58">
        <v>21321</v>
      </c>
      <c r="J58" s="12" t="s">
        <v>379</v>
      </c>
      <c r="K58" s="12" t="s">
        <v>322</v>
      </c>
      <c r="L58" s="12" t="s">
        <v>28</v>
      </c>
      <c r="M58" s="12" t="s">
        <v>380</v>
      </c>
      <c r="N58" s="12" t="s">
        <v>381</v>
      </c>
      <c r="O58">
        <f t="shared" si="0"/>
        <v>16104</v>
      </c>
      <c r="R58" t="s">
        <v>382</v>
      </c>
      <c r="S58" t="s">
        <v>131</v>
      </c>
    </row>
    <row r="59" spans="1:19">
      <c r="A59" s="2">
        <v>14072</v>
      </c>
      <c r="B59" t="s">
        <v>383</v>
      </c>
      <c r="C59" t="e">
        <v>#N/A</v>
      </c>
      <c r="F59">
        <v>26224</v>
      </c>
      <c r="G59" t="s">
        <v>384</v>
      </c>
      <c r="H59">
        <v>26224</v>
      </c>
      <c r="J59" s="12" t="s">
        <v>385</v>
      </c>
      <c r="K59" s="12" t="s">
        <v>330</v>
      </c>
      <c r="L59" s="12" t="s">
        <v>28</v>
      </c>
      <c r="M59" s="12" t="s">
        <v>386</v>
      </c>
      <c r="N59" s="12" t="s">
        <v>387</v>
      </c>
      <c r="O59">
        <f t="shared" si="0"/>
        <v>12165</v>
      </c>
      <c r="R59" t="s">
        <v>388</v>
      </c>
      <c r="S59" t="s">
        <v>389</v>
      </c>
    </row>
    <row r="60" spans="1:19">
      <c r="A60" s="2">
        <v>14073</v>
      </c>
      <c r="B60" t="s">
        <v>390</v>
      </c>
      <c r="C60">
        <v>14073</v>
      </c>
      <c r="F60">
        <v>26222</v>
      </c>
      <c r="G60" t="s">
        <v>391</v>
      </c>
      <c r="H60">
        <v>26222</v>
      </c>
      <c r="J60" s="12" t="s">
        <v>392</v>
      </c>
      <c r="K60" s="12" t="s">
        <v>337</v>
      </c>
      <c r="L60" s="12" t="s">
        <v>28</v>
      </c>
      <c r="M60" s="12" t="s">
        <v>393</v>
      </c>
      <c r="N60" s="12" t="s">
        <v>394</v>
      </c>
      <c r="O60" t="e">
        <f t="shared" si="0"/>
        <v>#N/A</v>
      </c>
      <c r="R60" t="s">
        <v>395</v>
      </c>
      <c r="S60" t="s">
        <v>396</v>
      </c>
    </row>
    <row r="61" spans="1:19">
      <c r="A61" s="2">
        <v>14074</v>
      </c>
      <c r="B61" t="s">
        <v>397</v>
      </c>
      <c r="C61">
        <v>14074</v>
      </c>
      <c r="F61">
        <v>12036</v>
      </c>
      <c r="G61" t="s">
        <v>398</v>
      </c>
      <c r="H61">
        <v>12036</v>
      </c>
      <c r="J61" s="12" t="s">
        <v>399</v>
      </c>
      <c r="K61" s="12" t="s">
        <v>400</v>
      </c>
      <c r="L61" s="12" t="s">
        <v>28</v>
      </c>
      <c r="M61" s="12" t="s">
        <v>401</v>
      </c>
      <c r="N61" s="12" t="s">
        <v>402</v>
      </c>
      <c r="O61">
        <f t="shared" si="0"/>
        <v>80307</v>
      </c>
      <c r="R61" t="s">
        <v>403</v>
      </c>
      <c r="S61" t="s">
        <v>404</v>
      </c>
    </row>
    <row r="62" spans="1:19">
      <c r="A62" s="2">
        <v>14075</v>
      </c>
      <c r="B62" t="s">
        <v>405</v>
      </c>
      <c r="C62">
        <v>14075</v>
      </c>
      <c r="F62">
        <v>10036</v>
      </c>
      <c r="G62" t="s">
        <v>406</v>
      </c>
      <c r="H62">
        <v>10036</v>
      </c>
      <c r="J62" s="12" t="s">
        <v>407</v>
      </c>
      <c r="K62" s="12" t="s">
        <v>408</v>
      </c>
      <c r="L62" s="12" t="s">
        <v>28</v>
      </c>
      <c r="M62" s="12" t="s">
        <v>409</v>
      </c>
      <c r="N62" s="12" t="s">
        <v>410</v>
      </c>
      <c r="O62">
        <f t="shared" si="0"/>
        <v>80306</v>
      </c>
      <c r="R62" t="s">
        <v>411</v>
      </c>
      <c r="S62" t="s">
        <v>412</v>
      </c>
    </row>
    <row r="63" spans="1:19">
      <c r="A63" s="2">
        <v>14076</v>
      </c>
      <c r="B63" t="s">
        <v>413</v>
      </c>
      <c r="C63">
        <v>14076</v>
      </c>
      <c r="F63">
        <v>29202</v>
      </c>
      <c r="G63" t="s">
        <v>414</v>
      </c>
      <c r="H63">
        <v>29202</v>
      </c>
      <c r="J63" s="12" t="s">
        <v>415</v>
      </c>
      <c r="K63" s="12" t="s">
        <v>342</v>
      </c>
      <c r="L63" s="12" t="s">
        <v>28</v>
      </c>
      <c r="M63" s="12" t="s">
        <v>416</v>
      </c>
      <c r="N63" s="12" t="s">
        <v>417</v>
      </c>
      <c r="O63" t="e">
        <f t="shared" si="0"/>
        <v>#N/A</v>
      </c>
      <c r="R63" t="s">
        <v>418</v>
      </c>
      <c r="S63" t="s">
        <v>419</v>
      </c>
    </row>
    <row r="64" spans="1:19">
      <c r="A64" s="2">
        <v>14103</v>
      </c>
      <c r="B64" t="s">
        <v>420</v>
      </c>
      <c r="C64" t="e">
        <v>#N/A</v>
      </c>
      <c r="F64">
        <v>16105</v>
      </c>
      <c r="G64" t="s">
        <v>421</v>
      </c>
      <c r="H64">
        <v>16105</v>
      </c>
      <c r="J64" s="12" t="s">
        <v>422</v>
      </c>
      <c r="K64" s="12" t="s">
        <v>423</v>
      </c>
      <c r="L64" s="12" t="s">
        <v>28</v>
      </c>
      <c r="M64" s="12" t="s">
        <v>424</v>
      </c>
      <c r="N64" s="12" t="s">
        <v>425</v>
      </c>
      <c r="O64">
        <f t="shared" si="0"/>
        <v>16012</v>
      </c>
      <c r="R64" t="s">
        <v>426</v>
      </c>
      <c r="S64" t="s">
        <v>228</v>
      </c>
    </row>
    <row r="65" spans="1:19">
      <c r="A65" s="2">
        <v>14110</v>
      </c>
      <c r="B65" t="s">
        <v>216</v>
      </c>
      <c r="C65">
        <v>14110</v>
      </c>
      <c r="F65">
        <v>15046</v>
      </c>
      <c r="G65" t="s">
        <v>427</v>
      </c>
      <c r="H65">
        <v>15046</v>
      </c>
      <c r="J65" s="12" t="s">
        <v>428</v>
      </c>
      <c r="K65" s="12" t="s">
        <v>348</v>
      </c>
      <c r="L65" s="12" t="s">
        <v>28</v>
      </c>
      <c r="M65" s="12" t="s">
        <v>429</v>
      </c>
      <c r="N65" s="12" t="s">
        <v>430</v>
      </c>
      <c r="O65">
        <f t="shared" si="0"/>
        <v>29204</v>
      </c>
      <c r="R65" t="s">
        <v>431</v>
      </c>
      <c r="S65" t="s">
        <v>202</v>
      </c>
    </row>
    <row r="66" spans="1:19">
      <c r="A66" s="2">
        <v>14111</v>
      </c>
      <c r="B66" t="s">
        <v>432</v>
      </c>
      <c r="C66">
        <v>14111</v>
      </c>
      <c r="F66">
        <v>12159</v>
      </c>
      <c r="G66" t="s">
        <v>303</v>
      </c>
      <c r="H66">
        <v>12159</v>
      </c>
      <c r="J66" s="12" t="s">
        <v>433</v>
      </c>
      <c r="K66" s="12" t="s">
        <v>434</v>
      </c>
      <c r="L66" s="12" t="s">
        <v>28</v>
      </c>
      <c r="M66" s="12" t="s">
        <v>435</v>
      </c>
      <c r="N66" s="12" t="s">
        <v>436</v>
      </c>
      <c r="O66" t="e">
        <f t="shared" si="0"/>
        <v>#N/A</v>
      </c>
      <c r="R66" t="s">
        <v>437</v>
      </c>
      <c r="S66" t="s">
        <v>239</v>
      </c>
    </row>
    <row r="67" spans="1:19">
      <c r="A67" s="2">
        <v>14120</v>
      </c>
      <c r="B67" t="s">
        <v>305</v>
      </c>
      <c r="C67">
        <v>14120</v>
      </c>
      <c r="F67">
        <v>14111</v>
      </c>
      <c r="G67" t="s">
        <v>432</v>
      </c>
      <c r="H67">
        <v>14111</v>
      </c>
      <c r="J67" s="12" t="s">
        <v>438</v>
      </c>
      <c r="K67" s="12" t="s">
        <v>439</v>
      </c>
      <c r="L67" s="12" t="s">
        <v>28</v>
      </c>
      <c r="M67" s="12" t="s">
        <v>440</v>
      </c>
      <c r="N67" s="12" t="s">
        <v>301</v>
      </c>
      <c r="O67" t="e">
        <f t="shared" ref="O67:O100" si="1">VLOOKUP(K67,$G$3:$H$166,2,FALSE)</f>
        <v>#N/A</v>
      </c>
      <c r="R67" t="s">
        <v>441</v>
      </c>
      <c r="S67" t="s">
        <v>442</v>
      </c>
    </row>
    <row r="68" spans="1:19">
      <c r="A68" s="2">
        <v>14121</v>
      </c>
      <c r="B68" t="s">
        <v>443</v>
      </c>
      <c r="C68">
        <v>14121</v>
      </c>
      <c r="F68">
        <v>16115</v>
      </c>
      <c r="G68" t="s">
        <v>310</v>
      </c>
      <c r="H68">
        <v>16115</v>
      </c>
      <c r="J68" s="12" t="s">
        <v>444</v>
      </c>
      <c r="K68" s="12" t="s">
        <v>445</v>
      </c>
      <c r="L68" s="12" t="s">
        <v>28</v>
      </c>
      <c r="M68" s="12" t="s">
        <v>446</v>
      </c>
      <c r="N68" s="12" t="s">
        <v>447</v>
      </c>
      <c r="O68" t="e">
        <f t="shared" si="1"/>
        <v>#N/A</v>
      </c>
      <c r="R68" t="s">
        <v>448</v>
      </c>
      <c r="S68" t="s">
        <v>449</v>
      </c>
    </row>
    <row r="69" spans="1:19">
      <c r="A69" s="2">
        <v>14152</v>
      </c>
      <c r="B69" t="s">
        <v>450</v>
      </c>
      <c r="C69" t="e">
        <v>#N/A</v>
      </c>
      <c r="F69">
        <v>16104</v>
      </c>
      <c r="G69" t="s">
        <v>322</v>
      </c>
      <c r="H69">
        <v>16104</v>
      </c>
      <c r="J69" s="12" t="s">
        <v>354</v>
      </c>
      <c r="K69" s="12" t="s">
        <v>355</v>
      </c>
      <c r="L69" s="12"/>
      <c r="M69" s="12"/>
      <c r="N69" s="12"/>
      <c r="O69" t="e">
        <f t="shared" si="1"/>
        <v>#N/A</v>
      </c>
      <c r="R69" t="s">
        <v>451</v>
      </c>
      <c r="S69" t="s">
        <v>250</v>
      </c>
    </row>
    <row r="70" spans="1:19">
      <c r="A70" s="2">
        <v>14153</v>
      </c>
      <c r="B70" t="s">
        <v>452</v>
      </c>
      <c r="C70" t="e">
        <v>#N/A</v>
      </c>
      <c r="F70">
        <v>16111</v>
      </c>
      <c r="G70" t="s">
        <v>453</v>
      </c>
      <c r="H70">
        <v>16111</v>
      </c>
      <c r="J70" s="12" t="s">
        <v>454</v>
      </c>
      <c r="K70" s="12" t="s">
        <v>156</v>
      </c>
      <c r="L70" s="12" t="s">
        <v>28</v>
      </c>
      <c r="M70" s="12" t="s">
        <v>455</v>
      </c>
      <c r="N70" s="12" t="s">
        <v>456</v>
      </c>
      <c r="O70">
        <f t="shared" si="1"/>
        <v>10074</v>
      </c>
      <c r="R70" t="s">
        <v>457</v>
      </c>
      <c r="S70" t="s">
        <v>458</v>
      </c>
    </row>
    <row r="71" spans="1:19">
      <c r="A71" s="2">
        <v>15009</v>
      </c>
      <c r="B71" t="s">
        <v>459</v>
      </c>
      <c r="C71">
        <v>15009</v>
      </c>
      <c r="F71">
        <v>21353</v>
      </c>
      <c r="G71" t="s">
        <v>460</v>
      </c>
      <c r="H71">
        <v>21353</v>
      </c>
      <c r="J71" s="12" t="s">
        <v>461</v>
      </c>
      <c r="K71" s="12" t="s">
        <v>364</v>
      </c>
      <c r="L71" s="12" t="s">
        <v>28</v>
      </c>
      <c r="M71" s="12" t="s">
        <v>462</v>
      </c>
      <c r="N71" s="12" t="s">
        <v>463</v>
      </c>
      <c r="O71" t="e">
        <f t="shared" si="1"/>
        <v>#N/A</v>
      </c>
      <c r="R71" t="s">
        <v>464</v>
      </c>
      <c r="S71" t="s">
        <v>465</v>
      </c>
    </row>
    <row r="72" spans="1:19">
      <c r="A72" s="2">
        <v>15046</v>
      </c>
      <c r="B72" t="s">
        <v>427</v>
      </c>
      <c r="C72">
        <v>15046</v>
      </c>
      <c r="F72">
        <v>12165</v>
      </c>
      <c r="G72" t="s">
        <v>330</v>
      </c>
      <c r="H72">
        <v>12165</v>
      </c>
      <c r="J72" s="12" t="s">
        <v>466</v>
      </c>
      <c r="K72" s="12" t="s">
        <v>371</v>
      </c>
      <c r="L72" s="12" t="s">
        <v>28</v>
      </c>
      <c r="M72" s="12" t="s">
        <v>467</v>
      </c>
      <c r="N72" s="12" t="s">
        <v>468</v>
      </c>
      <c r="O72" t="e">
        <f t="shared" si="1"/>
        <v>#N/A</v>
      </c>
      <c r="R72" t="s">
        <v>469</v>
      </c>
      <c r="S72" t="s">
        <v>316</v>
      </c>
    </row>
    <row r="73" spans="1:19">
      <c r="A73" s="2">
        <v>15170</v>
      </c>
      <c r="B73" t="s">
        <v>270</v>
      </c>
      <c r="C73">
        <v>15170</v>
      </c>
      <c r="F73">
        <v>95412</v>
      </c>
      <c r="G73" t="s">
        <v>470</v>
      </c>
      <c r="H73">
        <v>95412</v>
      </c>
      <c r="J73" s="12" t="s">
        <v>471</v>
      </c>
      <c r="K73" s="12" t="s">
        <v>150</v>
      </c>
      <c r="L73" s="12" t="s">
        <v>28</v>
      </c>
      <c r="M73" s="12" t="s">
        <v>472</v>
      </c>
      <c r="N73" s="12" t="s">
        <v>473</v>
      </c>
      <c r="O73">
        <f t="shared" si="1"/>
        <v>10073</v>
      </c>
      <c r="R73" t="s">
        <v>474</v>
      </c>
      <c r="S73" t="s">
        <v>263</v>
      </c>
    </row>
    <row r="74" spans="1:19">
      <c r="A74" s="2">
        <v>16010</v>
      </c>
      <c r="B74" t="s">
        <v>343</v>
      </c>
      <c r="C74">
        <v>16010</v>
      </c>
      <c r="F74">
        <v>12260</v>
      </c>
      <c r="G74" t="s">
        <v>365</v>
      </c>
      <c r="H74">
        <v>12260</v>
      </c>
      <c r="J74" s="12" t="s">
        <v>475</v>
      </c>
      <c r="K74" s="12" t="s">
        <v>131</v>
      </c>
      <c r="L74" s="12" t="s">
        <v>28</v>
      </c>
      <c r="M74" s="12" t="s">
        <v>476</v>
      </c>
      <c r="N74" s="12" t="s">
        <v>477</v>
      </c>
      <c r="O74">
        <f t="shared" si="1"/>
        <v>10069</v>
      </c>
      <c r="R74" t="s">
        <v>478</v>
      </c>
      <c r="S74" t="s">
        <v>479</v>
      </c>
    </row>
    <row r="75" spans="1:19">
      <c r="A75" s="2">
        <v>16012</v>
      </c>
      <c r="B75" t="s">
        <v>423</v>
      </c>
      <c r="C75">
        <v>16012</v>
      </c>
      <c r="F75">
        <v>16118</v>
      </c>
      <c r="G75" t="s">
        <v>480</v>
      </c>
      <c r="H75">
        <v>16118</v>
      </c>
      <c r="J75" s="12" t="s">
        <v>481</v>
      </c>
      <c r="K75" s="12" t="s">
        <v>389</v>
      </c>
      <c r="L75" s="12" t="s">
        <v>28</v>
      </c>
      <c r="M75" s="12" t="s">
        <v>482</v>
      </c>
      <c r="N75" s="12" t="s">
        <v>483</v>
      </c>
      <c r="O75">
        <f t="shared" si="1"/>
        <v>80305</v>
      </c>
      <c r="R75" t="s">
        <v>484</v>
      </c>
      <c r="S75" t="s">
        <v>485</v>
      </c>
    </row>
    <row r="76" spans="1:19">
      <c r="A76" s="2">
        <v>16015</v>
      </c>
      <c r="B76" t="s">
        <v>196</v>
      </c>
      <c r="C76">
        <v>16015</v>
      </c>
      <c r="F76">
        <v>16119</v>
      </c>
      <c r="G76" t="s">
        <v>486</v>
      </c>
      <c r="H76">
        <v>16119</v>
      </c>
      <c r="J76" s="12" t="s">
        <v>487</v>
      </c>
      <c r="K76" s="12" t="s">
        <v>396</v>
      </c>
      <c r="L76" s="12" t="s">
        <v>28</v>
      </c>
      <c r="M76" s="12" t="s">
        <v>488</v>
      </c>
      <c r="N76" s="12" t="s">
        <v>489</v>
      </c>
      <c r="O76" t="e">
        <f t="shared" si="1"/>
        <v>#N/A</v>
      </c>
      <c r="R76" t="s">
        <v>490</v>
      </c>
      <c r="S76" t="s">
        <v>491</v>
      </c>
    </row>
    <row r="77" spans="1:19">
      <c r="A77" s="2">
        <v>16025</v>
      </c>
      <c r="B77" t="s">
        <v>492</v>
      </c>
      <c r="C77" t="e">
        <v>#N/A</v>
      </c>
      <c r="F77">
        <v>21229</v>
      </c>
      <c r="G77" t="s">
        <v>493</v>
      </c>
      <c r="H77">
        <v>21229</v>
      </c>
      <c r="J77" s="12" t="s">
        <v>494</v>
      </c>
      <c r="K77" s="12" t="s">
        <v>404</v>
      </c>
      <c r="L77" s="12" t="s">
        <v>28</v>
      </c>
      <c r="M77" s="12" t="s">
        <v>495</v>
      </c>
      <c r="N77" s="12" t="s">
        <v>496</v>
      </c>
      <c r="O77" t="e">
        <f t="shared" si="1"/>
        <v>#N/A</v>
      </c>
      <c r="R77" t="s">
        <v>497</v>
      </c>
      <c r="S77" t="s">
        <v>498</v>
      </c>
    </row>
    <row r="78" spans="1:19">
      <c r="A78" s="2">
        <v>16104</v>
      </c>
      <c r="B78" t="s">
        <v>499</v>
      </c>
      <c r="C78" t="e">
        <v>#N/A</v>
      </c>
      <c r="F78">
        <v>80307</v>
      </c>
      <c r="G78" t="s">
        <v>400</v>
      </c>
      <c r="H78">
        <v>80307</v>
      </c>
      <c r="J78" s="12" t="s">
        <v>500</v>
      </c>
      <c r="K78" s="12" t="s">
        <v>412</v>
      </c>
      <c r="L78" s="12" t="s">
        <v>28</v>
      </c>
      <c r="M78" s="12" t="s">
        <v>501</v>
      </c>
      <c r="N78" s="12" t="s">
        <v>502</v>
      </c>
      <c r="O78" t="e">
        <f t="shared" si="1"/>
        <v>#N/A</v>
      </c>
      <c r="R78" t="s">
        <v>503</v>
      </c>
      <c r="S78" t="s">
        <v>504</v>
      </c>
    </row>
    <row r="79" spans="1:19">
      <c r="A79" s="2">
        <v>16105</v>
      </c>
      <c r="B79" t="s">
        <v>421</v>
      </c>
      <c r="C79">
        <v>16105</v>
      </c>
      <c r="F79">
        <v>80306</v>
      </c>
      <c r="G79" t="s">
        <v>408</v>
      </c>
      <c r="H79">
        <v>80306</v>
      </c>
      <c r="J79" s="12" t="s">
        <v>505</v>
      </c>
      <c r="K79" s="12" t="s">
        <v>419</v>
      </c>
      <c r="L79" s="12" t="s">
        <v>28</v>
      </c>
      <c r="M79" s="12" t="s">
        <v>506</v>
      </c>
      <c r="N79" s="12" t="s">
        <v>507</v>
      </c>
      <c r="O79" t="e">
        <f t="shared" si="1"/>
        <v>#N/A</v>
      </c>
      <c r="R79" t="s">
        <v>508</v>
      </c>
      <c r="S79" t="s">
        <v>509</v>
      </c>
    </row>
    <row r="80" spans="1:19">
      <c r="A80" s="2">
        <v>16111</v>
      </c>
      <c r="B80" t="s">
        <v>453</v>
      </c>
      <c r="C80">
        <v>16111</v>
      </c>
      <c r="F80">
        <v>17072</v>
      </c>
      <c r="G80" t="s">
        <v>510</v>
      </c>
      <c r="H80">
        <v>17072</v>
      </c>
      <c r="J80" s="12" t="s">
        <v>511</v>
      </c>
      <c r="K80" s="12" t="s">
        <v>228</v>
      </c>
      <c r="L80" s="12" t="s">
        <v>28</v>
      </c>
      <c r="M80" s="12" t="s">
        <v>512</v>
      </c>
      <c r="N80" s="12" t="s">
        <v>513</v>
      </c>
      <c r="O80">
        <f t="shared" si="1"/>
        <v>10145</v>
      </c>
      <c r="R80" t="s">
        <v>514</v>
      </c>
      <c r="S80" t="s">
        <v>138</v>
      </c>
    </row>
    <row r="81" spans="1:19">
      <c r="A81" s="2">
        <v>16115</v>
      </c>
      <c r="B81" t="s">
        <v>310</v>
      </c>
      <c r="C81">
        <v>16115</v>
      </c>
      <c r="F81">
        <v>16012</v>
      </c>
      <c r="G81" t="s">
        <v>423</v>
      </c>
      <c r="H81">
        <v>16012</v>
      </c>
      <c r="J81" s="12" t="s">
        <v>515</v>
      </c>
      <c r="K81" s="12" t="s">
        <v>202</v>
      </c>
      <c r="L81" s="12" t="s">
        <v>28</v>
      </c>
      <c r="M81" s="12" t="s">
        <v>516</v>
      </c>
      <c r="N81" s="12" t="s">
        <v>517</v>
      </c>
      <c r="O81">
        <f t="shared" si="1"/>
        <v>10121</v>
      </c>
      <c r="R81" t="s">
        <v>518</v>
      </c>
      <c r="S81" t="s">
        <v>215</v>
      </c>
    </row>
    <row r="82" spans="1:19">
      <c r="A82" s="2">
        <v>16118</v>
      </c>
      <c r="B82" t="s">
        <v>439</v>
      </c>
      <c r="C82" t="e">
        <v>#N/A</v>
      </c>
      <c r="F82">
        <v>29204</v>
      </c>
      <c r="G82" t="s">
        <v>348</v>
      </c>
      <c r="H82">
        <v>29204</v>
      </c>
      <c r="J82" s="12" t="s">
        <v>519</v>
      </c>
      <c r="K82" s="12" t="s">
        <v>239</v>
      </c>
      <c r="L82" s="12" t="s">
        <v>28</v>
      </c>
      <c r="M82" s="12" t="s">
        <v>520</v>
      </c>
      <c r="N82" s="12" t="s">
        <v>521</v>
      </c>
      <c r="O82">
        <f t="shared" si="1"/>
        <v>10230</v>
      </c>
      <c r="R82" t="s">
        <v>522</v>
      </c>
      <c r="S82" t="s">
        <v>523</v>
      </c>
    </row>
    <row r="83" spans="1:19">
      <c r="A83" s="2">
        <v>16119</v>
      </c>
      <c r="B83" t="s">
        <v>524</v>
      </c>
      <c r="C83" t="e">
        <v>#N/A</v>
      </c>
      <c r="F83" t="s">
        <v>355</v>
      </c>
      <c r="G83" t="s">
        <v>525</v>
      </c>
      <c r="H83" t="s">
        <v>355</v>
      </c>
      <c r="J83" s="12" t="s">
        <v>526</v>
      </c>
      <c r="K83" s="12" t="s">
        <v>442</v>
      </c>
      <c r="L83" s="12" t="s">
        <v>28</v>
      </c>
      <c r="M83" s="12" t="s">
        <v>527</v>
      </c>
      <c r="N83" s="12" t="s">
        <v>528</v>
      </c>
      <c r="O83" t="e">
        <f t="shared" si="1"/>
        <v>#N/A</v>
      </c>
    </row>
    <row r="84" spans="1:19">
      <c r="A84" s="2">
        <v>16120</v>
      </c>
      <c r="B84" t="s">
        <v>529</v>
      </c>
      <c r="C84">
        <v>16120</v>
      </c>
      <c r="F84">
        <v>21296</v>
      </c>
      <c r="G84" t="s">
        <v>530</v>
      </c>
      <c r="H84">
        <v>21296</v>
      </c>
      <c r="J84" s="12" t="s">
        <v>531</v>
      </c>
      <c r="K84" s="12" t="s">
        <v>449</v>
      </c>
      <c r="L84" s="12" t="s">
        <v>28</v>
      </c>
      <c r="M84" s="12" t="s">
        <v>532</v>
      </c>
      <c r="N84" s="12" t="s">
        <v>533</v>
      </c>
      <c r="O84" t="e">
        <f t="shared" si="1"/>
        <v>#N/A</v>
      </c>
    </row>
    <row r="85" spans="1:19">
      <c r="A85" s="2">
        <v>16130</v>
      </c>
      <c r="B85" t="s">
        <v>92</v>
      </c>
      <c r="C85">
        <v>16130</v>
      </c>
      <c r="F85">
        <v>10074</v>
      </c>
      <c r="G85" t="s">
        <v>156</v>
      </c>
      <c r="H85">
        <v>10074</v>
      </c>
      <c r="J85" s="12" t="s">
        <v>534</v>
      </c>
      <c r="K85" s="12" t="s">
        <v>535</v>
      </c>
      <c r="L85" s="12" t="s">
        <v>28</v>
      </c>
      <c r="M85" s="12" t="s">
        <v>536</v>
      </c>
      <c r="N85" s="12" t="s">
        <v>537</v>
      </c>
      <c r="O85" t="e">
        <f t="shared" si="1"/>
        <v>#N/A</v>
      </c>
    </row>
    <row r="86" spans="1:19">
      <c r="A86" s="2">
        <v>17072</v>
      </c>
      <c r="B86" t="s">
        <v>510</v>
      </c>
      <c r="C86">
        <v>17072</v>
      </c>
      <c r="F86">
        <v>12122</v>
      </c>
      <c r="G86" t="s">
        <v>323</v>
      </c>
      <c r="H86">
        <v>12122</v>
      </c>
      <c r="J86" s="12" t="s">
        <v>538</v>
      </c>
      <c r="K86" s="12" t="s">
        <v>250</v>
      </c>
      <c r="L86" s="12" t="s">
        <v>28</v>
      </c>
      <c r="M86" s="12" t="s">
        <v>539</v>
      </c>
      <c r="N86" s="12" t="s">
        <v>540</v>
      </c>
      <c r="O86">
        <f t="shared" si="1"/>
        <v>10321</v>
      </c>
    </row>
    <row r="87" spans="1:19">
      <c r="A87" s="2">
        <v>20052</v>
      </c>
      <c r="B87" t="s">
        <v>541</v>
      </c>
      <c r="C87" t="e">
        <v>#N/A</v>
      </c>
      <c r="F87">
        <v>15009</v>
      </c>
      <c r="G87" t="s">
        <v>459</v>
      </c>
      <c r="H87">
        <v>15009</v>
      </c>
      <c r="J87" s="12" t="s">
        <v>542</v>
      </c>
      <c r="K87" s="12" t="s">
        <v>543</v>
      </c>
      <c r="L87" s="12" t="s">
        <v>28</v>
      </c>
      <c r="M87" s="12" t="s">
        <v>544</v>
      </c>
      <c r="N87" s="12" t="s">
        <v>545</v>
      </c>
      <c r="O87" t="e">
        <f t="shared" si="1"/>
        <v>#N/A</v>
      </c>
    </row>
    <row r="88" spans="1:19">
      <c r="A88" s="2">
        <v>21045</v>
      </c>
      <c r="B88" t="s">
        <v>258</v>
      </c>
      <c r="C88">
        <v>21045</v>
      </c>
      <c r="F88">
        <v>12073</v>
      </c>
      <c r="G88" t="s">
        <v>546</v>
      </c>
      <c r="H88">
        <v>12073</v>
      </c>
      <c r="J88" s="12" t="s">
        <v>547</v>
      </c>
      <c r="K88" s="12" t="s">
        <v>458</v>
      </c>
      <c r="L88" s="12" t="s">
        <v>28</v>
      </c>
      <c r="M88" s="12" t="s">
        <v>548</v>
      </c>
      <c r="N88" s="12" t="s">
        <v>549</v>
      </c>
      <c r="O88">
        <f t="shared" si="1"/>
        <v>53101</v>
      </c>
    </row>
    <row r="89" spans="1:19">
      <c r="A89" s="2">
        <v>21112</v>
      </c>
      <c r="B89" t="s">
        <v>550</v>
      </c>
      <c r="C89" t="e">
        <v>#N/A</v>
      </c>
      <c r="F89">
        <v>12033</v>
      </c>
      <c r="G89" t="s">
        <v>551</v>
      </c>
      <c r="H89">
        <v>12033</v>
      </c>
      <c r="J89" s="12" t="s">
        <v>552</v>
      </c>
      <c r="K89" s="12" t="s">
        <v>465</v>
      </c>
      <c r="L89" s="12" t="s">
        <v>28</v>
      </c>
      <c r="M89" s="12" t="s">
        <v>553</v>
      </c>
      <c r="N89" s="12" t="s">
        <v>554</v>
      </c>
      <c r="O89">
        <f t="shared" si="1"/>
        <v>53373</v>
      </c>
    </row>
    <row r="90" spans="1:19">
      <c r="A90" s="2">
        <v>21229</v>
      </c>
      <c r="B90" t="s">
        <v>493</v>
      </c>
      <c r="C90">
        <v>21229</v>
      </c>
      <c r="F90">
        <v>21864</v>
      </c>
      <c r="G90" t="s">
        <v>555</v>
      </c>
      <c r="H90">
        <v>21864</v>
      </c>
      <c r="J90" s="12" t="s">
        <v>556</v>
      </c>
      <c r="K90" s="12" t="s">
        <v>316</v>
      </c>
      <c r="L90" s="12" t="s">
        <v>28</v>
      </c>
      <c r="M90" s="12" t="s">
        <v>557</v>
      </c>
      <c r="N90" s="12" t="s">
        <v>558</v>
      </c>
      <c r="O90">
        <f t="shared" si="1"/>
        <v>12121</v>
      </c>
    </row>
    <row r="91" spans="1:19">
      <c r="A91" s="2">
        <v>21233</v>
      </c>
      <c r="B91" t="s">
        <v>559</v>
      </c>
      <c r="C91">
        <v>21233</v>
      </c>
      <c r="F91">
        <v>54052</v>
      </c>
      <c r="G91" t="s">
        <v>560</v>
      </c>
      <c r="H91">
        <v>54052</v>
      </c>
      <c r="J91" s="12" t="s">
        <v>561</v>
      </c>
      <c r="K91" s="12" t="s">
        <v>263</v>
      </c>
      <c r="L91" s="12" t="s">
        <v>28</v>
      </c>
      <c r="M91" s="12" t="s">
        <v>562</v>
      </c>
      <c r="N91" s="12" t="s">
        <v>563</v>
      </c>
      <c r="O91">
        <f t="shared" si="1"/>
        <v>10635</v>
      </c>
    </row>
    <row r="92" spans="1:19">
      <c r="A92" s="2">
        <v>21235</v>
      </c>
      <c r="B92" t="s">
        <v>564</v>
      </c>
      <c r="C92" t="e">
        <v>#N/A</v>
      </c>
      <c r="F92">
        <v>10073</v>
      </c>
      <c r="G92" t="s">
        <v>150</v>
      </c>
      <c r="H92">
        <v>10073</v>
      </c>
      <c r="J92" s="12" t="s">
        <v>565</v>
      </c>
      <c r="K92" s="12" t="s">
        <v>479</v>
      </c>
      <c r="L92" s="12" t="s">
        <v>28</v>
      </c>
      <c r="M92" s="12" t="s">
        <v>566</v>
      </c>
      <c r="N92" s="12" t="s">
        <v>567</v>
      </c>
      <c r="O92">
        <f t="shared" si="1"/>
        <v>21294</v>
      </c>
    </row>
    <row r="93" spans="1:19">
      <c r="A93" s="2">
        <v>21250</v>
      </c>
      <c r="B93" t="s">
        <v>568</v>
      </c>
      <c r="C93">
        <v>21250</v>
      </c>
      <c r="F93">
        <v>10069</v>
      </c>
      <c r="G93" t="s">
        <v>131</v>
      </c>
      <c r="H93">
        <v>10069</v>
      </c>
      <c r="J93" s="12" t="s">
        <v>569</v>
      </c>
      <c r="K93" s="12" t="s">
        <v>570</v>
      </c>
      <c r="L93" s="12" t="s">
        <v>28</v>
      </c>
      <c r="M93" s="12" t="s">
        <v>571</v>
      </c>
      <c r="N93" s="12" t="s">
        <v>101</v>
      </c>
      <c r="O93">
        <f t="shared" si="1"/>
        <v>29207</v>
      </c>
    </row>
    <row r="94" spans="1:19">
      <c r="A94" s="2">
        <v>21284</v>
      </c>
      <c r="B94" t="s">
        <v>572</v>
      </c>
      <c r="C94" t="e">
        <v>#N/A</v>
      </c>
      <c r="F94">
        <v>14121</v>
      </c>
      <c r="G94" t="s">
        <v>443</v>
      </c>
      <c r="H94">
        <v>14121</v>
      </c>
      <c r="J94" s="12" t="s">
        <v>573</v>
      </c>
      <c r="K94" s="12" t="s">
        <v>498</v>
      </c>
      <c r="L94" s="12" t="s">
        <v>28</v>
      </c>
      <c r="M94" s="12" t="s">
        <v>574</v>
      </c>
      <c r="N94" s="12" t="s">
        <v>575</v>
      </c>
      <c r="O94" t="e">
        <f t="shared" si="1"/>
        <v>#N/A</v>
      </c>
    </row>
    <row r="95" spans="1:19">
      <c r="A95" s="2">
        <v>21290</v>
      </c>
      <c r="B95" t="s">
        <v>47</v>
      </c>
      <c r="C95">
        <v>21290</v>
      </c>
      <c r="F95">
        <v>80305</v>
      </c>
      <c r="G95" t="s">
        <v>389</v>
      </c>
      <c r="H95">
        <v>80305</v>
      </c>
      <c r="J95" s="12" t="s">
        <v>576</v>
      </c>
      <c r="K95" s="12" t="s">
        <v>504</v>
      </c>
      <c r="L95" s="12" t="s">
        <v>28</v>
      </c>
      <c r="M95" s="12" t="s">
        <v>577</v>
      </c>
      <c r="N95" s="12" t="s">
        <v>578</v>
      </c>
      <c r="O95" t="e">
        <f t="shared" si="1"/>
        <v>#N/A</v>
      </c>
    </row>
    <row r="96" spans="1:19">
      <c r="A96" s="2">
        <v>21291</v>
      </c>
      <c r="B96" t="s">
        <v>350</v>
      </c>
      <c r="C96">
        <v>21291</v>
      </c>
      <c r="F96">
        <v>16120</v>
      </c>
      <c r="G96" t="s">
        <v>529</v>
      </c>
      <c r="H96">
        <v>16120</v>
      </c>
      <c r="J96" s="12" t="s">
        <v>579</v>
      </c>
      <c r="K96" s="12" t="s">
        <v>509</v>
      </c>
      <c r="L96" s="12" t="s">
        <v>28</v>
      </c>
      <c r="M96" s="12" t="s">
        <v>580</v>
      </c>
      <c r="N96" s="12" t="s">
        <v>581</v>
      </c>
      <c r="O96" t="e">
        <f t="shared" si="1"/>
        <v>#N/A</v>
      </c>
    </row>
    <row r="97" spans="1:15">
      <c r="A97" s="2">
        <v>21292</v>
      </c>
      <c r="B97" t="s">
        <v>582</v>
      </c>
      <c r="C97" t="e">
        <v>#N/A</v>
      </c>
      <c r="F97">
        <v>80300</v>
      </c>
      <c r="G97" t="s">
        <v>583</v>
      </c>
      <c r="H97">
        <v>80300</v>
      </c>
      <c r="J97" s="12" t="s">
        <v>584</v>
      </c>
      <c r="K97" s="12" t="s">
        <v>138</v>
      </c>
      <c r="L97" s="12" t="s">
        <v>28</v>
      </c>
      <c r="M97" s="12" t="s">
        <v>585</v>
      </c>
      <c r="N97" s="12" t="s">
        <v>586</v>
      </c>
      <c r="O97">
        <f t="shared" si="1"/>
        <v>10071</v>
      </c>
    </row>
    <row r="98" spans="1:15">
      <c r="A98" s="2">
        <v>21294</v>
      </c>
      <c r="B98" t="s">
        <v>479</v>
      </c>
      <c r="C98">
        <v>21294</v>
      </c>
      <c r="F98">
        <v>21250</v>
      </c>
      <c r="G98" t="s">
        <v>568</v>
      </c>
      <c r="H98">
        <v>21250</v>
      </c>
      <c r="J98" s="12" t="s">
        <v>587</v>
      </c>
      <c r="K98" s="12" t="s">
        <v>215</v>
      </c>
      <c r="L98" s="12" t="s">
        <v>28</v>
      </c>
      <c r="M98" s="12" t="s">
        <v>588</v>
      </c>
      <c r="N98" s="12" t="s">
        <v>589</v>
      </c>
      <c r="O98">
        <f t="shared" si="1"/>
        <v>10123</v>
      </c>
    </row>
    <row r="99" spans="1:15">
      <c r="A99" s="2">
        <v>21296</v>
      </c>
      <c r="B99" t="s">
        <v>498</v>
      </c>
      <c r="C99" t="e">
        <v>#N/A</v>
      </c>
      <c r="F99">
        <v>80302</v>
      </c>
      <c r="G99" t="s">
        <v>590</v>
      </c>
      <c r="H99">
        <v>80302</v>
      </c>
      <c r="J99" s="12" t="s">
        <v>591</v>
      </c>
      <c r="K99" s="12" t="s">
        <v>523</v>
      </c>
      <c r="L99" s="12" t="s">
        <v>28</v>
      </c>
      <c r="M99" s="12" t="s">
        <v>592</v>
      </c>
      <c r="N99" s="12" t="s">
        <v>593</v>
      </c>
      <c r="O99" t="e">
        <f t="shared" si="1"/>
        <v>#N/A</v>
      </c>
    </row>
    <row r="100" spans="1:15">
      <c r="A100" s="2">
        <v>21297</v>
      </c>
      <c r="B100" t="s">
        <v>504</v>
      </c>
      <c r="C100" t="e">
        <v>#N/A</v>
      </c>
      <c r="F100">
        <v>84045</v>
      </c>
      <c r="G100" t="s">
        <v>594</v>
      </c>
      <c r="H100">
        <v>84045</v>
      </c>
      <c r="J100" s="12" t="s">
        <v>595</v>
      </c>
      <c r="K100" s="12" t="s">
        <v>596</v>
      </c>
      <c r="L100" s="12" t="s">
        <v>28</v>
      </c>
      <c r="M100" s="12" t="s">
        <v>597</v>
      </c>
      <c r="N100" s="12" t="s">
        <v>598</v>
      </c>
      <c r="O100">
        <f t="shared" si="1"/>
        <v>29208</v>
      </c>
    </row>
    <row r="101" spans="1:15">
      <c r="A101" s="2">
        <v>21299</v>
      </c>
      <c r="B101" t="s">
        <v>68</v>
      </c>
      <c r="C101">
        <v>21299</v>
      </c>
      <c r="F101">
        <v>10066</v>
      </c>
      <c r="G101" t="s">
        <v>111</v>
      </c>
      <c r="H101">
        <v>10066</v>
      </c>
    </row>
    <row r="102" spans="1:15">
      <c r="A102" s="2">
        <v>21321</v>
      </c>
      <c r="B102" t="s">
        <v>378</v>
      </c>
      <c r="C102">
        <v>21321</v>
      </c>
      <c r="F102">
        <v>10958</v>
      </c>
      <c r="G102" t="s">
        <v>599</v>
      </c>
      <c r="H102">
        <v>10958</v>
      </c>
    </row>
    <row r="103" spans="1:15">
      <c r="A103" s="2">
        <v>21353</v>
      </c>
      <c r="B103" t="s">
        <v>460</v>
      </c>
      <c r="C103">
        <v>21353</v>
      </c>
      <c r="F103">
        <v>10145</v>
      </c>
      <c r="G103" t="s">
        <v>228</v>
      </c>
      <c r="H103">
        <v>10145</v>
      </c>
    </row>
    <row r="104" spans="1:15">
      <c r="A104" s="2">
        <v>21864</v>
      </c>
      <c r="B104" t="s">
        <v>555</v>
      </c>
      <c r="C104">
        <v>21864</v>
      </c>
      <c r="F104">
        <v>10121</v>
      </c>
      <c r="G104" t="s">
        <v>202</v>
      </c>
      <c r="H104">
        <v>10121</v>
      </c>
    </row>
    <row r="105" spans="1:15">
      <c r="A105" s="2">
        <v>23077</v>
      </c>
      <c r="B105" t="s">
        <v>600</v>
      </c>
      <c r="C105" t="e">
        <v>#N/A</v>
      </c>
      <c r="F105">
        <v>10230</v>
      </c>
      <c r="G105" t="s">
        <v>239</v>
      </c>
      <c r="H105">
        <v>10230</v>
      </c>
    </row>
    <row r="106" spans="1:15">
      <c r="A106" s="2">
        <v>23080</v>
      </c>
      <c r="B106" t="s">
        <v>601</v>
      </c>
      <c r="C106" t="e">
        <v>#N/A</v>
      </c>
      <c r="F106">
        <v>54926</v>
      </c>
      <c r="G106" t="s">
        <v>602</v>
      </c>
      <c r="H106">
        <v>54926</v>
      </c>
    </row>
    <row r="107" spans="1:15">
      <c r="A107" s="2">
        <v>23081</v>
      </c>
      <c r="B107" t="s">
        <v>603</v>
      </c>
      <c r="C107" t="e">
        <v>#N/A</v>
      </c>
      <c r="F107">
        <v>56149</v>
      </c>
      <c r="G107" t="s">
        <v>604</v>
      </c>
      <c r="H107">
        <v>56149</v>
      </c>
    </row>
    <row r="108" spans="1:15">
      <c r="A108" s="2">
        <v>23082</v>
      </c>
      <c r="B108" t="s">
        <v>605</v>
      </c>
      <c r="C108" t="e">
        <v>#N/A</v>
      </c>
      <c r="F108">
        <v>56734</v>
      </c>
      <c r="G108" t="s">
        <v>606</v>
      </c>
      <c r="H108">
        <v>56734</v>
      </c>
    </row>
    <row r="109" spans="1:15">
      <c r="A109" s="2">
        <v>26108</v>
      </c>
      <c r="B109" t="s">
        <v>607</v>
      </c>
      <c r="C109" t="e">
        <v>#N/A</v>
      </c>
      <c r="F109">
        <v>56150</v>
      </c>
      <c r="G109" t="s">
        <v>608</v>
      </c>
      <c r="H109">
        <v>56150</v>
      </c>
    </row>
    <row r="110" spans="1:15">
      <c r="A110" s="2">
        <v>26121</v>
      </c>
      <c r="B110" t="s">
        <v>609</v>
      </c>
      <c r="C110" t="e">
        <v>#N/A</v>
      </c>
      <c r="F110">
        <v>56148</v>
      </c>
      <c r="G110" t="s">
        <v>610</v>
      </c>
      <c r="H110">
        <v>56148</v>
      </c>
    </row>
    <row r="111" spans="1:15">
      <c r="A111" s="2">
        <v>26222</v>
      </c>
      <c r="B111" t="s">
        <v>391</v>
      </c>
      <c r="C111">
        <v>26222</v>
      </c>
      <c r="F111">
        <v>56731</v>
      </c>
      <c r="G111" t="s">
        <v>611</v>
      </c>
      <c r="H111">
        <v>56731</v>
      </c>
    </row>
    <row r="112" spans="1:15">
      <c r="A112" s="2">
        <v>26223</v>
      </c>
      <c r="B112" t="s">
        <v>612</v>
      </c>
      <c r="C112" t="e">
        <v>#N/A</v>
      </c>
      <c r="F112">
        <v>56815</v>
      </c>
      <c r="G112" t="s">
        <v>613</v>
      </c>
      <c r="H112">
        <v>56815</v>
      </c>
    </row>
    <row r="113" spans="1:8">
      <c r="A113" s="2">
        <v>26224</v>
      </c>
      <c r="B113" t="s">
        <v>384</v>
      </c>
      <c r="C113">
        <v>26224</v>
      </c>
      <c r="F113">
        <v>300956</v>
      </c>
      <c r="G113" t="s">
        <v>614</v>
      </c>
      <c r="H113">
        <v>300956</v>
      </c>
    </row>
    <row r="114" spans="1:8">
      <c r="A114" s="2">
        <v>26301</v>
      </c>
      <c r="B114" t="s">
        <v>615</v>
      </c>
      <c r="C114" t="e">
        <v>#N/A</v>
      </c>
      <c r="F114">
        <v>300962</v>
      </c>
      <c r="G114" t="s">
        <v>616</v>
      </c>
      <c r="H114">
        <v>300962</v>
      </c>
    </row>
    <row r="115" spans="1:8">
      <c r="A115" s="2">
        <v>26302</v>
      </c>
      <c r="B115" t="s">
        <v>617</v>
      </c>
      <c r="C115" t="e">
        <v>#N/A</v>
      </c>
      <c r="F115">
        <v>300963</v>
      </c>
      <c r="G115" t="s">
        <v>618</v>
      </c>
      <c r="H115">
        <v>300963</v>
      </c>
    </row>
    <row r="116" spans="1:8">
      <c r="A116" s="2">
        <v>26351</v>
      </c>
      <c r="B116" t="s">
        <v>233</v>
      </c>
      <c r="C116">
        <v>26351</v>
      </c>
      <c r="F116">
        <v>300957</v>
      </c>
      <c r="G116" t="s">
        <v>619</v>
      </c>
      <c r="H116">
        <v>300957</v>
      </c>
    </row>
    <row r="117" spans="1:8">
      <c r="A117" s="2">
        <v>29029</v>
      </c>
      <c r="B117" t="s">
        <v>620</v>
      </c>
      <c r="C117">
        <v>29029</v>
      </c>
      <c r="F117">
        <v>54141</v>
      </c>
      <c r="G117" t="s">
        <v>621</v>
      </c>
      <c r="H117">
        <v>54141</v>
      </c>
    </row>
    <row r="118" spans="1:8">
      <c r="A118" s="2">
        <v>29056</v>
      </c>
      <c r="B118" t="s">
        <v>82</v>
      </c>
      <c r="C118">
        <v>29056</v>
      </c>
      <c r="F118">
        <v>54142</v>
      </c>
      <c r="G118" t="s">
        <v>622</v>
      </c>
      <c r="H118">
        <v>54142</v>
      </c>
    </row>
    <row r="119" spans="1:8">
      <c r="A119" s="2">
        <v>29100</v>
      </c>
      <c r="B119" t="s">
        <v>125</v>
      </c>
      <c r="C119">
        <v>29100</v>
      </c>
      <c r="F119">
        <v>300959</v>
      </c>
      <c r="G119" t="s">
        <v>623</v>
      </c>
      <c r="H119">
        <v>300959</v>
      </c>
    </row>
    <row r="120" spans="1:8">
      <c r="A120" s="2">
        <v>29101</v>
      </c>
      <c r="B120" t="s">
        <v>132</v>
      </c>
      <c r="C120">
        <v>29101</v>
      </c>
      <c r="F120">
        <v>300961</v>
      </c>
      <c r="G120" t="s">
        <v>624</v>
      </c>
      <c r="H120">
        <v>300961</v>
      </c>
    </row>
    <row r="121" spans="1:8">
      <c r="A121" s="2">
        <v>29102</v>
      </c>
      <c r="B121" t="s">
        <v>63</v>
      </c>
      <c r="C121">
        <v>29102</v>
      </c>
      <c r="F121">
        <v>54143</v>
      </c>
      <c r="G121" t="s">
        <v>625</v>
      </c>
      <c r="H121">
        <v>54143</v>
      </c>
    </row>
    <row r="122" spans="1:8">
      <c r="A122" s="2">
        <v>29103</v>
      </c>
      <c r="B122" t="s">
        <v>70</v>
      </c>
      <c r="C122">
        <v>29103</v>
      </c>
      <c r="F122">
        <v>56352</v>
      </c>
      <c r="G122" t="s">
        <v>626</v>
      </c>
      <c r="H122">
        <v>56352</v>
      </c>
    </row>
    <row r="123" spans="1:8">
      <c r="A123" s="2">
        <v>29200</v>
      </c>
      <c r="B123" t="s">
        <v>627</v>
      </c>
      <c r="C123" t="e">
        <v>#N/A</v>
      </c>
      <c r="F123">
        <v>300960</v>
      </c>
      <c r="G123" t="s">
        <v>628</v>
      </c>
      <c r="H123">
        <v>300960</v>
      </c>
    </row>
    <row r="124" spans="1:8">
      <c r="A124" s="2">
        <v>29202</v>
      </c>
      <c r="B124" t="s">
        <v>414</v>
      </c>
      <c r="C124">
        <v>29202</v>
      </c>
      <c r="F124">
        <v>54087</v>
      </c>
      <c r="G124" t="s">
        <v>629</v>
      </c>
      <c r="H124">
        <v>54087</v>
      </c>
    </row>
    <row r="125" spans="1:8">
      <c r="A125" s="2">
        <v>29204</v>
      </c>
      <c r="B125" t="s">
        <v>630</v>
      </c>
      <c r="C125" t="e">
        <v>#N/A</v>
      </c>
      <c r="F125">
        <v>54088</v>
      </c>
      <c r="G125" t="s">
        <v>631</v>
      </c>
      <c r="H125">
        <v>54088</v>
      </c>
    </row>
    <row r="126" spans="1:8">
      <c r="A126" s="2">
        <v>29205</v>
      </c>
      <c r="B126" t="s">
        <v>632</v>
      </c>
      <c r="C126" t="e">
        <v>#N/A</v>
      </c>
      <c r="F126">
        <v>300949</v>
      </c>
      <c r="G126" t="s">
        <v>633</v>
      </c>
      <c r="H126">
        <v>300949</v>
      </c>
    </row>
    <row r="127" spans="1:8">
      <c r="A127" s="2">
        <v>29206</v>
      </c>
      <c r="B127" t="s">
        <v>634</v>
      </c>
      <c r="C127" t="e">
        <v>#N/A</v>
      </c>
      <c r="F127">
        <v>300958</v>
      </c>
      <c r="G127" t="s">
        <v>635</v>
      </c>
      <c r="H127">
        <v>300958</v>
      </c>
    </row>
    <row r="128" spans="1:8">
      <c r="A128" s="2">
        <v>29207</v>
      </c>
      <c r="B128" t="s">
        <v>485</v>
      </c>
      <c r="C128" t="e">
        <v>#N/A</v>
      </c>
      <c r="F128">
        <v>300950</v>
      </c>
      <c r="G128" t="s">
        <v>636</v>
      </c>
      <c r="H128">
        <v>300950</v>
      </c>
    </row>
    <row r="129" spans="1:8">
      <c r="A129" s="2">
        <v>29208</v>
      </c>
      <c r="B129" t="s">
        <v>596</v>
      </c>
      <c r="C129">
        <v>29208</v>
      </c>
      <c r="F129">
        <v>10135</v>
      </c>
      <c r="G129" t="s">
        <v>637</v>
      </c>
      <c r="H129">
        <v>10135</v>
      </c>
    </row>
    <row r="130" spans="1:8">
      <c r="A130" s="2">
        <v>300900</v>
      </c>
      <c r="B130" t="s">
        <v>638</v>
      </c>
      <c r="C130" t="e">
        <v>#N/A</v>
      </c>
      <c r="F130">
        <v>55994</v>
      </c>
      <c r="G130" t="s">
        <v>639</v>
      </c>
      <c r="H130">
        <v>55994</v>
      </c>
    </row>
    <row r="131" spans="1:8">
      <c r="A131" s="2">
        <v>300901</v>
      </c>
      <c r="B131" t="s">
        <v>640</v>
      </c>
      <c r="C131" t="e">
        <v>#N/A</v>
      </c>
      <c r="F131">
        <v>55999</v>
      </c>
      <c r="G131" t="s">
        <v>641</v>
      </c>
      <c r="H131">
        <v>55999</v>
      </c>
    </row>
    <row r="132" spans="1:8">
      <c r="A132" s="2">
        <v>300902</v>
      </c>
      <c r="B132" t="s">
        <v>642</v>
      </c>
      <c r="C132" t="e">
        <v>#N/A</v>
      </c>
      <c r="F132">
        <v>80350</v>
      </c>
      <c r="G132" t="s">
        <v>643</v>
      </c>
      <c r="H132">
        <v>80350</v>
      </c>
    </row>
    <row r="133" spans="1:8">
      <c r="A133" s="2">
        <v>300903</v>
      </c>
      <c r="B133" t="s">
        <v>644</v>
      </c>
      <c r="C133" t="e">
        <v>#N/A</v>
      </c>
      <c r="F133">
        <v>10321</v>
      </c>
      <c r="G133" t="s">
        <v>250</v>
      </c>
      <c r="H133">
        <v>10321</v>
      </c>
    </row>
    <row r="134" spans="1:8">
      <c r="A134" s="2">
        <v>300948</v>
      </c>
      <c r="B134" t="s">
        <v>645</v>
      </c>
      <c r="C134" t="e">
        <v>#N/A</v>
      </c>
      <c r="F134">
        <v>53101</v>
      </c>
      <c r="G134" t="s">
        <v>458</v>
      </c>
      <c r="H134">
        <v>53101</v>
      </c>
    </row>
    <row r="135" spans="1:8">
      <c r="A135" s="2">
        <v>300949</v>
      </c>
      <c r="B135" t="s">
        <v>633</v>
      </c>
      <c r="C135">
        <v>300949</v>
      </c>
      <c r="F135">
        <v>53372</v>
      </c>
      <c r="G135" t="s">
        <v>646</v>
      </c>
      <c r="H135">
        <v>53372</v>
      </c>
    </row>
    <row r="136" spans="1:8">
      <c r="A136" s="2">
        <v>300950</v>
      </c>
      <c r="B136" t="s">
        <v>636</v>
      </c>
      <c r="C136">
        <v>300950</v>
      </c>
      <c r="F136">
        <v>53373</v>
      </c>
      <c r="G136" t="s">
        <v>465</v>
      </c>
      <c r="H136">
        <v>53373</v>
      </c>
    </row>
    <row r="137" spans="1:8">
      <c r="A137" s="2">
        <v>300952</v>
      </c>
      <c r="B137" t="s">
        <v>647</v>
      </c>
      <c r="C137" t="e">
        <v>#N/A</v>
      </c>
      <c r="F137">
        <v>12121</v>
      </c>
      <c r="G137" t="s">
        <v>316</v>
      </c>
      <c r="H137">
        <v>12121</v>
      </c>
    </row>
    <row r="138" spans="1:8">
      <c r="A138" s="2">
        <v>300953</v>
      </c>
      <c r="B138" t="s">
        <v>648</v>
      </c>
      <c r="C138" t="e">
        <v>#N/A</v>
      </c>
      <c r="F138">
        <v>10635</v>
      </c>
      <c r="G138" t="s">
        <v>263</v>
      </c>
      <c r="H138">
        <v>10635</v>
      </c>
    </row>
    <row r="139" spans="1:8">
      <c r="A139" s="2">
        <v>300954</v>
      </c>
      <c r="B139" t="s">
        <v>649</v>
      </c>
      <c r="C139" t="e">
        <v>#N/A</v>
      </c>
      <c r="F139">
        <v>21294</v>
      </c>
      <c r="G139" t="s">
        <v>479</v>
      </c>
      <c r="H139">
        <v>21294</v>
      </c>
    </row>
    <row r="140" spans="1:8">
      <c r="A140" s="2">
        <v>300955</v>
      </c>
      <c r="B140" t="s">
        <v>650</v>
      </c>
      <c r="C140" t="e">
        <v>#N/A</v>
      </c>
      <c r="F140">
        <v>29207</v>
      </c>
      <c r="G140" t="s">
        <v>570</v>
      </c>
      <c r="H140">
        <v>29207</v>
      </c>
    </row>
    <row r="141" spans="1:8">
      <c r="A141" s="2">
        <v>300956</v>
      </c>
      <c r="B141" t="s">
        <v>614</v>
      </c>
      <c r="C141">
        <v>300956</v>
      </c>
      <c r="F141">
        <v>21297</v>
      </c>
      <c r="G141" t="s">
        <v>651</v>
      </c>
      <c r="H141">
        <v>21297</v>
      </c>
    </row>
    <row r="142" spans="1:8">
      <c r="A142" s="2">
        <v>300957</v>
      </c>
      <c r="B142" t="s">
        <v>619</v>
      </c>
      <c r="C142">
        <v>300957</v>
      </c>
      <c r="F142">
        <v>80309</v>
      </c>
      <c r="G142" t="s">
        <v>652</v>
      </c>
      <c r="H142">
        <v>80309</v>
      </c>
    </row>
    <row r="143" spans="1:8">
      <c r="A143" s="2">
        <v>300958</v>
      </c>
      <c r="B143" t="s">
        <v>635</v>
      </c>
      <c r="C143">
        <v>300958</v>
      </c>
      <c r="F143">
        <v>54580</v>
      </c>
      <c r="G143" t="s">
        <v>653</v>
      </c>
      <c r="H143">
        <v>54580</v>
      </c>
    </row>
    <row r="144" spans="1:8">
      <c r="A144" s="2">
        <v>300959</v>
      </c>
      <c r="B144" t="s">
        <v>623</v>
      </c>
      <c r="C144">
        <v>300959</v>
      </c>
      <c r="F144">
        <v>56079</v>
      </c>
      <c r="G144" t="s">
        <v>654</v>
      </c>
      <c r="H144">
        <v>56079</v>
      </c>
    </row>
    <row r="145" spans="1:8">
      <c r="A145" s="2">
        <v>300960</v>
      </c>
      <c r="B145" t="s">
        <v>628</v>
      </c>
      <c r="C145">
        <v>300960</v>
      </c>
      <c r="F145">
        <v>54109</v>
      </c>
      <c r="G145" t="s">
        <v>655</v>
      </c>
      <c r="H145">
        <v>54109</v>
      </c>
    </row>
    <row r="146" spans="1:8">
      <c r="A146" s="2">
        <v>300961</v>
      </c>
      <c r="B146" t="s">
        <v>624</v>
      </c>
      <c r="C146">
        <v>300961</v>
      </c>
      <c r="F146">
        <v>54081</v>
      </c>
      <c r="G146" t="s">
        <v>656</v>
      </c>
      <c r="H146">
        <v>54081</v>
      </c>
    </row>
    <row r="147" spans="1:8">
      <c r="A147" s="2">
        <v>300962</v>
      </c>
      <c r="B147" t="s">
        <v>616</v>
      </c>
      <c r="C147">
        <v>300962</v>
      </c>
      <c r="F147">
        <v>54108</v>
      </c>
      <c r="G147" t="s">
        <v>657</v>
      </c>
      <c r="H147">
        <v>54108</v>
      </c>
    </row>
    <row r="148" spans="1:8">
      <c r="A148" s="2">
        <v>300963</v>
      </c>
      <c r="B148" t="s">
        <v>618</v>
      </c>
      <c r="C148">
        <v>300963</v>
      </c>
      <c r="F148">
        <v>54590</v>
      </c>
      <c r="G148" t="s">
        <v>658</v>
      </c>
      <c r="H148">
        <v>54590</v>
      </c>
    </row>
    <row r="149" spans="1:8">
      <c r="A149" s="2">
        <v>300964</v>
      </c>
      <c r="B149" t="s">
        <v>659</v>
      </c>
      <c r="C149" t="e">
        <v>#N/A</v>
      </c>
      <c r="F149">
        <v>54086</v>
      </c>
      <c r="G149" t="s">
        <v>660</v>
      </c>
      <c r="H149">
        <v>54086</v>
      </c>
    </row>
    <row r="150" spans="1:8">
      <c r="A150" s="2">
        <v>39000</v>
      </c>
      <c r="B150" t="s">
        <v>244</v>
      </c>
      <c r="C150">
        <v>39000</v>
      </c>
      <c r="F150">
        <v>54456</v>
      </c>
      <c r="G150" t="s">
        <v>661</v>
      </c>
      <c r="H150">
        <v>54456</v>
      </c>
    </row>
    <row r="151" spans="1:8">
      <c r="A151" s="2">
        <v>53101</v>
      </c>
      <c r="B151" t="s">
        <v>458</v>
      </c>
      <c r="C151">
        <v>53101</v>
      </c>
      <c r="F151">
        <v>54089</v>
      </c>
      <c r="G151" t="s">
        <v>662</v>
      </c>
      <c r="H151">
        <v>54089</v>
      </c>
    </row>
    <row r="152" spans="1:8">
      <c r="A152" s="2">
        <v>53372</v>
      </c>
      <c r="B152" t="s">
        <v>646</v>
      </c>
      <c r="C152">
        <v>53372</v>
      </c>
      <c r="F152">
        <v>54457</v>
      </c>
      <c r="G152" t="s">
        <v>663</v>
      </c>
      <c r="H152">
        <v>54457</v>
      </c>
    </row>
    <row r="153" spans="1:8">
      <c r="A153" s="2">
        <v>53373</v>
      </c>
      <c r="B153" t="s">
        <v>465</v>
      </c>
      <c r="C153">
        <v>53373</v>
      </c>
      <c r="F153">
        <v>54107</v>
      </c>
      <c r="G153" t="s">
        <v>664</v>
      </c>
      <c r="H153">
        <v>54107</v>
      </c>
    </row>
    <row r="154" spans="1:8">
      <c r="A154" s="2">
        <v>53376</v>
      </c>
      <c r="B154" t="s">
        <v>665</v>
      </c>
      <c r="C154" t="e">
        <v>#N/A</v>
      </c>
      <c r="F154">
        <v>54110</v>
      </c>
      <c r="G154" t="s">
        <v>666</v>
      </c>
      <c r="H154">
        <v>54110</v>
      </c>
    </row>
    <row r="155" spans="1:8">
      <c r="A155" s="2">
        <v>54052</v>
      </c>
      <c r="B155" t="s">
        <v>560</v>
      </c>
      <c r="C155">
        <v>54052</v>
      </c>
      <c r="F155">
        <v>12150</v>
      </c>
      <c r="G155" t="s">
        <v>331</v>
      </c>
      <c r="H155">
        <v>12150</v>
      </c>
    </row>
    <row r="156" spans="1:8">
      <c r="A156" s="2">
        <v>54081</v>
      </c>
      <c r="B156" t="s">
        <v>667</v>
      </c>
      <c r="C156" t="e">
        <v>#N/A</v>
      </c>
      <c r="F156">
        <v>21233</v>
      </c>
      <c r="G156" t="s">
        <v>559</v>
      </c>
      <c r="H156">
        <v>21233</v>
      </c>
    </row>
    <row r="157" spans="1:8">
      <c r="A157" s="2">
        <v>54086</v>
      </c>
      <c r="B157" t="s">
        <v>315</v>
      </c>
      <c r="C157" t="e">
        <v>#N/A</v>
      </c>
      <c r="F157">
        <v>14073</v>
      </c>
      <c r="G157" t="s">
        <v>390</v>
      </c>
      <c r="H157">
        <v>14073</v>
      </c>
    </row>
    <row r="158" spans="1:8">
      <c r="A158" s="2">
        <v>54087</v>
      </c>
      <c r="B158" t="s">
        <v>412</v>
      </c>
      <c r="C158" t="e">
        <v>#N/A</v>
      </c>
      <c r="F158">
        <v>14074</v>
      </c>
      <c r="G158" t="s">
        <v>397</v>
      </c>
      <c r="H158">
        <v>14074</v>
      </c>
    </row>
    <row r="159" spans="1:8">
      <c r="A159" s="2">
        <v>54088</v>
      </c>
      <c r="B159" t="s">
        <v>419</v>
      </c>
      <c r="C159" t="e">
        <v>#N/A</v>
      </c>
      <c r="F159">
        <v>14075</v>
      </c>
      <c r="G159" t="s">
        <v>405</v>
      </c>
      <c r="H159">
        <v>14075</v>
      </c>
    </row>
    <row r="160" spans="1:8">
      <c r="A160" s="2">
        <v>54089</v>
      </c>
      <c r="B160" t="s">
        <v>668</v>
      </c>
      <c r="C160" t="e">
        <v>#N/A</v>
      </c>
      <c r="F160">
        <v>14076</v>
      </c>
      <c r="G160" t="s">
        <v>413</v>
      </c>
      <c r="H160">
        <v>14076</v>
      </c>
    </row>
    <row r="161" spans="1:8">
      <c r="A161" s="2">
        <v>54107</v>
      </c>
      <c r="B161" t="s">
        <v>664</v>
      </c>
      <c r="C161">
        <v>54107</v>
      </c>
      <c r="F161">
        <v>10071</v>
      </c>
      <c r="G161" t="s">
        <v>138</v>
      </c>
      <c r="H161">
        <v>10071</v>
      </c>
    </row>
    <row r="162" spans="1:8">
      <c r="A162" s="2">
        <v>54108</v>
      </c>
      <c r="B162" t="s">
        <v>256</v>
      </c>
      <c r="C162" t="e">
        <v>#N/A</v>
      </c>
      <c r="F162">
        <v>10058</v>
      </c>
      <c r="G162" t="s">
        <v>91</v>
      </c>
      <c r="H162">
        <v>10058</v>
      </c>
    </row>
    <row r="163" spans="1:8">
      <c r="A163" s="2">
        <v>54109</v>
      </c>
      <c r="B163" t="s">
        <v>655</v>
      </c>
      <c r="C163">
        <v>54109</v>
      </c>
      <c r="F163">
        <v>10123</v>
      </c>
      <c r="G163" t="s">
        <v>215</v>
      </c>
      <c r="H163">
        <v>10123</v>
      </c>
    </row>
    <row r="164" spans="1:8">
      <c r="A164" s="2">
        <v>54110</v>
      </c>
      <c r="B164" t="s">
        <v>523</v>
      </c>
      <c r="C164" t="e">
        <v>#N/A</v>
      </c>
      <c r="F164">
        <v>10092</v>
      </c>
      <c r="G164" t="s">
        <v>185</v>
      </c>
      <c r="H164">
        <v>10092</v>
      </c>
    </row>
    <row r="165" spans="1:8">
      <c r="A165" s="2">
        <v>54141</v>
      </c>
      <c r="B165" t="s">
        <v>285</v>
      </c>
      <c r="C165" t="e">
        <v>#N/A</v>
      </c>
      <c r="F165">
        <v>29029</v>
      </c>
      <c r="G165" t="s">
        <v>620</v>
      </c>
      <c r="H165">
        <v>29029</v>
      </c>
    </row>
    <row r="166" spans="1:8">
      <c r="A166" s="2">
        <v>54142</v>
      </c>
      <c r="B166" t="s">
        <v>297</v>
      </c>
      <c r="C166" t="e">
        <v>#N/A</v>
      </c>
      <c r="F166">
        <v>29208</v>
      </c>
      <c r="G166" t="s">
        <v>596</v>
      </c>
      <c r="H166">
        <v>29208</v>
      </c>
    </row>
    <row r="167" spans="1:8">
      <c r="A167" s="2">
        <v>54143</v>
      </c>
      <c r="B167" t="s">
        <v>342</v>
      </c>
      <c r="C167" t="e">
        <v>#N/A</v>
      </c>
    </row>
    <row r="168" spans="1:8">
      <c r="A168" s="2">
        <v>54210</v>
      </c>
      <c r="B168" t="s">
        <v>669</v>
      </c>
      <c r="C168" t="e">
        <v>#N/A</v>
      </c>
    </row>
    <row r="169" spans="1:8">
      <c r="A169" s="2">
        <v>54456</v>
      </c>
      <c r="B169" t="s">
        <v>661</v>
      </c>
      <c r="C169">
        <v>54456</v>
      </c>
    </row>
    <row r="170" spans="1:8">
      <c r="A170" s="2">
        <v>54457</v>
      </c>
      <c r="B170" t="s">
        <v>449</v>
      </c>
      <c r="C170" t="e">
        <v>#N/A</v>
      </c>
    </row>
    <row r="171" spans="1:8">
      <c r="A171" s="2">
        <v>54498</v>
      </c>
      <c r="B171" t="s">
        <v>670</v>
      </c>
      <c r="C171" t="e">
        <v>#N/A</v>
      </c>
    </row>
    <row r="172" spans="1:8">
      <c r="A172" s="2">
        <v>54580</v>
      </c>
      <c r="B172" t="s">
        <v>56</v>
      </c>
      <c r="C172" t="e">
        <v>#N/A</v>
      </c>
    </row>
    <row r="173" spans="1:8">
      <c r="A173" s="2">
        <v>54590</v>
      </c>
      <c r="B173" t="s">
        <v>658</v>
      </c>
      <c r="C173">
        <v>54590</v>
      </c>
    </row>
    <row r="174" spans="1:8">
      <c r="A174" s="2">
        <v>54673</v>
      </c>
      <c r="B174" t="s">
        <v>671</v>
      </c>
      <c r="C174" t="e">
        <v>#N/A</v>
      </c>
    </row>
    <row r="175" spans="1:8">
      <c r="A175" s="2">
        <v>54926</v>
      </c>
      <c r="B175" t="s">
        <v>602</v>
      </c>
      <c r="C175">
        <v>54926</v>
      </c>
    </row>
    <row r="176" spans="1:8">
      <c r="A176" s="2">
        <v>54997</v>
      </c>
      <c r="B176" t="s">
        <v>672</v>
      </c>
      <c r="C176" t="e">
        <v>#N/A</v>
      </c>
    </row>
    <row r="177" spans="1:3">
      <c r="A177" s="2">
        <v>54998</v>
      </c>
      <c r="B177" t="s">
        <v>673</v>
      </c>
      <c r="C177" t="e">
        <v>#N/A</v>
      </c>
    </row>
    <row r="178" spans="1:3">
      <c r="A178" s="2">
        <v>54999</v>
      </c>
      <c r="B178" t="s">
        <v>279</v>
      </c>
      <c r="C178">
        <v>54999</v>
      </c>
    </row>
    <row r="179" spans="1:3">
      <c r="A179" s="2">
        <v>55007</v>
      </c>
      <c r="B179" t="s">
        <v>674</v>
      </c>
      <c r="C179" t="e">
        <v>#N/A</v>
      </c>
    </row>
    <row r="180" spans="1:3">
      <c r="A180" s="2">
        <v>55134</v>
      </c>
      <c r="B180" t="s">
        <v>675</v>
      </c>
      <c r="C180" t="e">
        <v>#N/A</v>
      </c>
    </row>
    <row r="181" spans="1:3">
      <c r="A181" s="2">
        <v>55226</v>
      </c>
      <c r="B181" t="s">
        <v>676</v>
      </c>
      <c r="C181" t="e">
        <v>#N/A</v>
      </c>
    </row>
    <row r="182" spans="1:3">
      <c r="A182" s="2">
        <v>55227</v>
      </c>
      <c r="B182" t="s">
        <v>677</v>
      </c>
      <c r="C182" t="e">
        <v>#N/A</v>
      </c>
    </row>
    <row r="183" spans="1:3">
      <c r="A183" s="2">
        <v>55228</v>
      </c>
      <c r="B183" t="s">
        <v>678</v>
      </c>
      <c r="C183" t="e">
        <v>#N/A</v>
      </c>
    </row>
    <row r="184" spans="1:3">
      <c r="A184" s="2">
        <v>55229</v>
      </c>
      <c r="B184" t="s">
        <v>679</v>
      </c>
      <c r="C184" t="e">
        <v>#N/A</v>
      </c>
    </row>
    <row r="185" spans="1:3">
      <c r="A185" s="2">
        <v>55232</v>
      </c>
      <c r="B185" t="s">
        <v>680</v>
      </c>
      <c r="C185" t="e">
        <v>#N/A</v>
      </c>
    </row>
    <row r="186" spans="1:3">
      <c r="A186" s="2">
        <v>55233</v>
      </c>
      <c r="B186" t="s">
        <v>681</v>
      </c>
      <c r="C186" t="e">
        <v>#N/A</v>
      </c>
    </row>
    <row r="187" spans="1:3">
      <c r="A187" s="2">
        <v>55234</v>
      </c>
      <c r="B187" t="s">
        <v>682</v>
      </c>
      <c r="C187" t="e">
        <v>#N/A</v>
      </c>
    </row>
    <row r="188" spans="1:3">
      <c r="A188" s="2">
        <v>55239</v>
      </c>
      <c r="B188" t="s">
        <v>683</v>
      </c>
      <c r="C188" t="e">
        <v>#N/A</v>
      </c>
    </row>
    <row r="189" spans="1:3">
      <c r="A189" s="2">
        <v>55243</v>
      </c>
      <c r="B189" t="s">
        <v>684</v>
      </c>
      <c r="C189" t="e">
        <v>#N/A</v>
      </c>
    </row>
    <row r="190" spans="1:3">
      <c r="A190" s="2">
        <v>55247</v>
      </c>
      <c r="B190" t="s">
        <v>685</v>
      </c>
      <c r="C190" t="e">
        <v>#N/A</v>
      </c>
    </row>
    <row r="191" spans="1:3">
      <c r="A191" s="2">
        <v>55249</v>
      </c>
      <c r="B191" t="s">
        <v>686</v>
      </c>
      <c r="C191" t="e">
        <v>#N/A</v>
      </c>
    </row>
    <row r="192" spans="1:3">
      <c r="A192" s="2">
        <v>55250</v>
      </c>
      <c r="B192" t="s">
        <v>687</v>
      </c>
      <c r="C192" t="e">
        <v>#N/A</v>
      </c>
    </row>
    <row r="193" spans="1:3">
      <c r="A193" s="2">
        <v>55253</v>
      </c>
      <c r="B193" t="s">
        <v>688</v>
      </c>
      <c r="C193" t="e">
        <v>#N/A</v>
      </c>
    </row>
    <row r="194" spans="1:3">
      <c r="A194" s="2">
        <v>55256</v>
      </c>
      <c r="B194" t="s">
        <v>689</v>
      </c>
      <c r="C194" t="e">
        <v>#N/A</v>
      </c>
    </row>
    <row r="195" spans="1:3">
      <c r="A195" s="2">
        <v>55260</v>
      </c>
      <c r="B195" t="s">
        <v>690</v>
      </c>
      <c r="C195" t="e">
        <v>#N/A</v>
      </c>
    </row>
    <row r="196" spans="1:3">
      <c r="A196" s="2">
        <v>55267</v>
      </c>
      <c r="B196" t="s">
        <v>691</v>
      </c>
      <c r="C196" t="e">
        <v>#N/A</v>
      </c>
    </row>
    <row r="197" spans="1:3">
      <c r="A197" s="2">
        <v>55268</v>
      </c>
      <c r="B197" t="s">
        <v>692</v>
      </c>
      <c r="C197" t="e">
        <v>#N/A</v>
      </c>
    </row>
    <row r="198" spans="1:3">
      <c r="A198" s="2">
        <v>55272</v>
      </c>
      <c r="B198" t="s">
        <v>693</v>
      </c>
      <c r="C198" t="e">
        <v>#N/A</v>
      </c>
    </row>
    <row r="199" spans="1:3">
      <c r="A199" s="2">
        <v>55273</v>
      </c>
      <c r="B199" t="s">
        <v>694</v>
      </c>
      <c r="C199" t="e">
        <v>#N/A</v>
      </c>
    </row>
    <row r="200" spans="1:3">
      <c r="A200" s="2">
        <v>55274</v>
      </c>
      <c r="B200" t="s">
        <v>695</v>
      </c>
      <c r="C200" t="e">
        <v>#N/A</v>
      </c>
    </row>
    <row r="201" spans="1:3">
      <c r="A201" s="2">
        <v>55383</v>
      </c>
      <c r="B201" t="s">
        <v>696</v>
      </c>
      <c r="C201" t="e">
        <v>#N/A</v>
      </c>
    </row>
    <row r="202" spans="1:3">
      <c r="A202" s="2">
        <v>55391</v>
      </c>
      <c r="B202" t="s">
        <v>697</v>
      </c>
      <c r="C202" t="e">
        <v>#N/A</v>
      </c>
    </row>
    <row r="203" spans="1:3">
      <c r="A203" s="2">
        <v>55392</v>
      </c>
      <c r="B203" t="s">
        <v>698</v>
      </c>
      <c r="C203" t="e">
        <v>#N/A</v>
      </c>
    </row>
    <row r="204" spans="1:3">
      <c r="A204" s="2">
        <v>55393</v>
      </c>
      <c r="B204" t="s">
        <v>699</v>
      </c>
      <c r="C204" t="e">
        <v>#N/A</v>
      </c>
    </row>
    <row r="205" spans="1:3">
      <c r="A205" s="2">
        <v>55394</v>
      </c>
      <c r="B205" t="s">
        <v>700</v>
      </c>
      <c r="C205" t="e">
        <v>#N/A</v>
      </c>
    </row>
    <row r="206" spans="1:3">
      <c r="A206" s="2">
        <v>55422</v>
      </c>
      <c r="B206" t="s">
        <v>701</v>
      </c>
      <c r="C206" t="e">
        <v>#N/A</v>
      </c>
    </row>
    <row r="207" spans="1:3">
      <c r="A207" s="2">
        <v>55484</v>
      </c>
      <c r="B207" t="s">
        <v>324</v>
      </c>
      <c r="C207">
        <v>55484</v>
      </c>
    </row>
    <row r="208" spans="1:3">
      <c r="A208" s="2">
        <v>55485</v>
      </c>
      <c r="B208" t="s">
        <v>332</v>
      </c>
      <c r="C208">
        <v>55485</v>
      </c>
    </row>
    <row r="209" spans="1:3">
      <c r="A209" s="2">
        <v>55486</v>
      </c>
      <c r="B209" t="s">
        <v>326</v>
      </c>
      <c r="C209">
        <v>55486</v>
      </c>
    </row>
    <row r="210" spans="1:3">
      <c r="A210" s="2">
        <v>55928</v>
      </c>
      <c r="B210" t="s">
        <v>702</v>
      </c>
      <c r="C210" t="e">
        <v>#N/A</v>
      </c>
    </row>
    <row r="211" spans="1:3">
      <c r="A211" s="2">
        <v>55929</v>
      </c>
      <c r="B211" t="s">
        <v>703</v>
      </c>
      <c r="C211" t="e">
        <v>#N/A</v>
      </c>
    </row>
    <row r="212" spans="1:3">
      <c r="A212" s="2">
        <v>55930</v>
      </c>
      <c r="B212" t="s">
        <v>704</v>
      </c>
      <c r="C212" t="e">
        <v>#N/A</v>
      </c>
    </row>
    <row r="213" spans="1:3">
      <c r="A213" s="2">
        <v>55931</v>
      </c>
      <c r="B213" t="s">
        <v>705</v>
      </c>
      <c r="C213" t="e">
        <v>#N/A</v>
      </c>
    </row>
    <row r="214" spans="1:3">
      <c r="A214" s="2">
        <v>55980</v>
      </c>
      <c r="B214" t="s">
        <v>706</v>
      </c>
      <c r="C214" t="e">
        <v>#N/A</v>
      </c>
    </row>
    <row r="215" spans="1:3">
      <c r="A215" s="2">
        <v>55989</v>
      </c>
      <c r="B215" t="s">
        <v>707</v>
      </c>
      <c r="C215" t="e">
        <v>#N/A</v>
      </c>
    </row>
    <row r="216" spans="1:3">
      <c r="A216" s="2">
        <v>55990</v>
      </c>
      <c r="B216" t="s">
        <v>364</v>
      </c>
      <c r="C216" t="e">
        <v>#N/A</v>
      </c>
    </row>
    <row r="217" spans="1:3">
      <c r="A217" s="2">
        <v>55991</v>
      </c>
      <c r="B217" t="s">
        <v>708</v>
      </c>
      <c r="C217" t="e">
        <v>#N/A</v>
      </c>
    </row>
    <row r="218" spans="1:3">
      <c r="A218" s="2">
        <v>55992</v>
      </c>
      <c r="B218" t="s">
        <v>709</v>
      </c>
      <c r="C218" t="e">
        <v>#N/A</v>
      </c>
    </row>
    <row r="219" spans="1:3">
      <c r="A219" s="2">
        <v>55993</v>
      </c>
      <c r="B219" t="s">
        <v>710</v>
      </c>
      <c r="C219" t="e">
        <v>#N/A</v>
      </c>
    </row>
    <row r="220" spans="1:3">
      <c r="A220" s="2">
        <v>55994</v>
      </c>
      <c r="B220" t="s">
        <v>218</v>
      </c>
      <c r="C220" t="e">
        <v>#N/A</v>
      </c>
    </row>
    <row r="221" spans="1:3">
      <c r="A221" s="2">
        <v>55996</v>
      </c>
      <c r="B221" t="s">
        <v>711</v>
      </c>
      <c r="C221" t="e">
        <v>#N/A</v>
      </c>
    </row>
    <row r="222" spans="1:3">
      <c r="A222" s="2">
        <v>55997</v>
      </c>
      <c r="B222" t="s">
        <v>712</v>
      </c>
      <c r="C222" t="e">
        <v>#N/A</v>
      </c>
    </row>
    <row r="223" spans="1:3">
      <c r="A223" s="2">
        <v>55998</v>
      </c>
      <c r="B223" t="s">
        <v>713</v>
      </c>
      <c r="C223" t="e">
        <v>#N/A</v>
      </c>
    </row>
    <row r="224" spans="1:3">
      <c r="A224" s="2">
        <v>55999</v>
      </c>
      <c r="B224" t="s">
        <v>208</v>
      </c>
      <c r="C224" t="e">
        <v>#N/A</v>
      </c>
    </row>
    <row r="225" spans="1:3">
      <c r="A225" s="2">
        <v>56078</v>
      </c>
      <c r="B225" t="s">
        <v>203</v>
      </c>
      <c r="C225">
        <v>56078</v>
      </c>
    </row>
    <row r="226" spans="1:3">
      <c r="A226" s="2">
        <v>56079</v>
      </c>
      <c r="B226" t="s">
        <v>714</v>
      </c>
      <c r="C226" t="e">
        <v>#N/A</v>
      </c>
    </row>
    <row r="227" spans="1:3">
      <c r="A227" s="2">
        <v>56148</v>
      </c>
      <c r="B227" t="s">
        <v>610</v>
      </c>
      <c r="C227">
        <v>56148</v>
      </c>
    </row>
    <row r="228" spans="1:3">
      <c r="A228" s="2">
        <v>56149</v>
      </c>
      <c r="B228" t="s">
        <v>604</v>
      </c>
      <c r="C228">
        <v>56149</v>
      </c>
    </row>
    <row r="229" spans="1:3">
      <c r="A229" s="2">
        <v>56150</v>
      </c>
      <c r="B229" t="s">
        <v>608</v>
      </c>
      <c r="C229">
        <v>56150</v>
      </c>
    </row>
    <row r="230" spans="1:3">
      <c r="A230" s="2">
        <v>56352</v>
      </c>
      <c r="B230" t="s">
        <v>626</v>
      </c>
      <c r="C230">
        <v>56352</v>
      </c>
    </row>
    <row r="231" spans="1:3">
      <c r="A231" s="2">
        <v>56731</v>
      </c>
      <c r="B231" t="s">
        <v>611</v>
      </c>
      <c r="C231">
        <v>56731</v>
      </c>
    </row>
    <row r="232" spans="1:3">
      <c r="A232" s="2">
        <v>56734</v>
      </c>
      <c r="B232" t="s">
        <v>606</v>
      </c>
      <c r="C232">
        <v>56734</v>
      </c>
    </row>
    <row r="233" spans="1:3">
      <c r="A233" s="2">
        <v>56815</v>
      </c>
      <c r="B233" t="s">
        <v>613</v>
      </c>
      <c r="C233">
        <v>56815</v>
      </c>
    </row>
    <row r="234" spans="1:3">
      <c r="A234" s="2">
        <v>62000</v>
      </c>
      <c r="B234" t="s">
        <v>715</v>
      </c>
      <c r="C234" t="e">
        <v>#N/A</v>
      </c>
    </row>
    <row r="235" spans="1:3">
      <c r="A235" s="2">
        <v>62031</v>
      </c>
      <c r="B235" t="s">
        <v>716</v>
      </c>
      <c r="C235" t="e">
        <v>#N/A</v>
      </c>
    </row>
    <row r="236" spans="1:3">
      <c r="A236" s="2">
        <v>71000</v>
      </c>
      <c r="B236" t="s">
        <v>717</v>
      </c>
      <c r="C236" t="e">
        <v>#N/A</v>
      </c>
    </row>
    <row r="237" spans="1:3">
      <c r="A237" s="2">
        <v>74000</v>
      </c>
      <c r="B237" t="s">
        <v>718</v>
      </c>
      <c r="C237" t="e">
        <v>#N/A</v>
      </c>
    </row>
    <row r="238" spans="1:3">
      <c r="A238" s="2">
        <v>75000</v>
      </c>
      <c r="B238" t="s">
        <v>719</v>
      </c>
      <c r="C238" t="e">
        <v>#N/A</v>
      </c>
    </row>
    <row r="239" spans="1:3">
      <c r="A239" s="2">
        <v>77000</v>
      </c>
      <c r="B239" t="s">
        <v>720</v>
      </c>
      <c r="C239" t="e">
        <v>#N/A</v>
      </c>
    </row>
    <row r="240" spans="1:3">
      <c r="A240" s="2">
        <v>80300</v>
      </c>
      <c r="B240" t="s">
        <v>583</v>
      </c>
      <c r="C240">
        <v>80300</v>
      </c>
    </row>
    <row r="241" spans="1:3">
      <c r="A241" s="2">
        <v>80302</v>
      </c>
      <c r="B241" t="s">
        <v>396</v>
      </c>
      <c r="C241" t="e">
        <v>#N/A</v>
      </c>
    </row>
    <row r="242" spans="1:3">
      <c r="A242" s="2">
        <v>80305</v>
      </c>
      <c r="B242" t="s">
        <v>389</v>
      </c>
      <c r="C242">
        <v>80305</v>
      </c>
    </row>
    <row r="243" spans="1:3">
      <c r="A243" s="2">
        <v>80306</v>
      </c>
      <c r="B243" t="s">
        <v>408</v>
      </c>
      <c r="C243">
        <v>80306</v>
      </c>
    </row>
    <row r="244" spans="1:3">
      <c r="A244" s="2">
        <v>80307</v>
      </c>
      <c r="B244" t="s">
        <v>400</v>
      </c>
      <c r="C244">
        <v>80307</v>
      </c>
    </row>
    <row r="245" spans="1:3">
      <c r="A245" s="2">
        <v>80309</v>
      </c>
      <c r="B245" t="s">
        <v>652</v>
      </c>
      <c r="C245">
        <v>80309</v>
      </c>
    </row>
    <row r="246" spans="1:3">
      <c r="A246" s="2">
        <v>80310</v>
      </c>
      <c r="B246" t="s">
        <v>172</v>
      </c>
      <c r="C246" t="e">
        <v>#N/A</v>
      </c>
    </row>
    <row r="247" spans="1:3">
      <c r="A247" s="2">
        <v>80350</v>
      </c>
      <c r="B247" t="s">
        <v>535</v>
      </c>
      <c r="C247" t="e">
        <v>#N/A</v>
      </c>
    </row>
    <row r="248" spans="1:3">
      <c r="A248" s="2">
        <v>84012</v>
      </c>
      <c r="B248" t="s">
        <v>317</v>
      </c>
      <c r="C248">
        <v>84012</v>
      </c>
    </row>
    <row r="249" spans="1:3">
      <c r="A249" s="2">
        <v>84045</v>
      </c>
      <c r="B249" t="s">
        <v>594</v>
      </c>
      <c r="C249">
        <v>84045</v>
      </c>
    </row>
    <row r="250" spans="1:3">
      <c r="A250" s="2">
        <v>89264</v>
      </c>
      <c r="B250" t="s">
        <v>210</v>
      </c>
      <c r="C250">
        <v>89264</v>
      </c>
    </row>
    <row r="251" spans="1:3">
      <c r="A251" s="2">
        <v>95412</v>
      </c>
      <c r="B251" t="s">
        <v>337</v>
      </c>
      <c r="C251" t="e">
        <v>#N/A</v>
      </c>
    </row>
    <row r="252" spans="1:3">
      <c r="A252" s="2">
        <v>95425</v>
      </c>
      <c r="B252" t="s">
        <v>721</v>
      </c>
      <c r="C252" t="e">
        <v>#N/A</v>
      </c>
    </row>
    <row r="253" spans="1:3">
      <c r="A253" s="2">
        <v>95426</v>
      </c>
      <c r="B253" t="s">
        <v>49</v>
      </c>
      <c r="C253">
        <v>10076</v>
      </c>
    </row>
    <row r="254" spans="1:3">
      <c r="A254" s="2">
        <v>99999</v>
      </c>
      <c r="B254" t="s">
        <v>722</v>
      </c>
      <c r="C254" t="e">
        <v>#N/A</v>
      </c>
    </row>
    <row r="255" spans="1:3">
      <c r="A255" s="2" t="s">
        <v>723</v>
      </c>
      <c r="B255" t="s">
        <v>724</v>
      </c>
      <c r="C255" t="e">
        <v>#N/A</v>
      </c>
    </row>
    <row r="256" spans="1:3">
      <c r="A256" s="2" t="s">
        <v>725</v>
      </c>
      <c r="B256" t="s">
        <v>726</v>
      </c>
      <c r="C256" t="e">
        <v>#N/A</v>
      </c>
    </row>
    <row r="257" spans="1:3">
      <c r="A257" s="2" t="s">
        <v>727</v>
      </c>
      <c r="B257" t="s">
        <v>728</v>
      </c>
      <c r="C257" t="e">
        <v>#N/A</v>
      </c>
    </row>
    <row r="258" spans="1:3">
      <c r="A258" s="2" t="s">
        <v>729</v>
      </c>
      <c r="B258" t="s">
        <v>730</v>
      </c>
      <c r="C258" t="e">
        <v>#N/A</v>
      </c>
    </row>
    <row r="259" spans="1:3">
      <c r="A259" s="2" t="s">
        <v>731</v>
      </c>
      <c r="B259" t="s">
        <v>730</v>
      </c>
      <c r="C259" t="e">
        <v>#N/A</v>
      </c>
    </row>
    <row r="260" spans="1:3">
      <c r="A260" s="2" t="s">
        <v>732</v>
      </c>
      <c r="B260" t="s">
        <v>733</v>
      </c>
      <c r="C260" t="e">
        <v>#N/A</v>
      </c>
    </row>
    <row r="261" spans="1:3">
      <c r="A261" s="2" t="s">
        <v>734</v>
      </c>
      <c r="B261" t="s">
        <v>735</v>
      </c>
      <c r="C261" t="e">
        <v>#N/A</v>
      </c>
    </row>
  </sheetData>
  <sortState xmlns:xlrd2="http://schemas.microsoft.com/office/spreadsheetml/2017/richdata2" ref="F3:H166">
    <sortCondition ref="G3:G166"/>
  </sortState>
  <pageMargins left="0.7" right="0.7" top="0.75" bottom="0.75" header="0.3" footer="0.3"/>
  <pageSetup paperSize="9" orientation="portrait" r:id="rId1"/>
  <headerFooter>
    <oddFooter>&amp;L_x000D_&amp;1#&amp;"Calibri"&amp;8&amp;K000000 Classified Confidential - Only for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8C6C-8573-40EE-B814-BA5F37CA7738}">
  <sheetPr codeName="Sheet3"/>
  <dimension ref="A1:G27"/>
  <sheetViews>
    <sheetView workbookViewId="0">
      <selection activeCell="P5" sqref="P5"/>
    </sheetView>
  </sheetViews>
  <sheetFormatPr defaultRowHeight="14.45"/>
  <cols>
    <col min="1" max="1" width="30" bestFit="1" customWidth="1"/>
    <col min="3" max="3" width="50.140625" bestFit="1" customWidth="1"/>
    <col min="4" max="4" width="20.28515625" bestFit="1" customWidth="1"/>
    <col min="5" max="5" width="39.85546875" bestFit="1" customWidth="1"/>
  </cols>
  <sheetData>
    <row r="1" spans="1:7">
      <c r="A1" s="1" t="s">
        <v>736</v>
      </c>
      <c r="C1" s="1" t="s">
        <v>737</v>
      </c>
      <c r="G1" s="1" t="s">
        <v>738</v>
      </c>
    </row>
    <row r="2" spans="1:7">
      <c r="A2" t="s">
        <v>10</v>
      </c>
      <c r="C2" s="1" t="s">
        <v>739</v>
      </c>
      <c r="D2" s="1" t="s">
        <v>740</v>
      </c>
      <c r="E2" s="1" t="s">
        <v>741</v>
      </c>
    </row>
    <row r="3" spans="1:7">
      <c r="A3" t="s">
        <v>742</v>
      </c>
      <c r="C3" t="s">
        <v>743</v>
      </c>
      <c r="D3" t="s">
        <v>744</v>
      </c>
      <c r="E3" t="s">
        <v>745</v>
      </c>
    </row>
    <row r="4" spans="1:7">
      <c r="A4" t="s">
        <v>746</v>
      </c>
      <c r="C4" t="s">
        <v>747</v>
      </c>
      <c r="D4" t="s">
        <v>748</v>
      </c>
      <c r="E4" t="s">
        <v>749</v>
      </c>
    </row>
    <row r="5" spans="1:7">
      <c r="A5" t="s">
        <v>750</v>
      </c>
      <c r="C5" t="s">
        <v>751</v>
      </c>
      <c r="D5" t="s">
        <v>752</v>
      </c>
      <c r="E5" t="s">
        <v>751</v>
      </c>
    </row>
    <row r="6" spans="1:7">
      <c r="A6" t="s">
        <v>753</v>
      </c>
      <c r="C6" t="s">
        <v>754</v>
      </c>
      <c r="D6" t="s">
        <v>755</v>
      </c>
      <c r="E6" t="s">
        <v>754</v>
      </c>
    </row>
    <row r="7" spans="1:7">
      <c r="A7" t="s">
        <v>756</v>
      </c>
      <c r="C7" t="s">
        <v>757</v>
      </c>
      <c r="D7" t="s">
        <v>758</v>
      </c>
      <c r="E7" t="s">
        <v>757</v>
      </c>
    </row>
    <row r="8" spans="1:7">
      <c r="C8" t="s">
        <v>759</v>
      </c>
      <c r="D8" t="s">
        <v>758</v>
      </c>
      <c r="E8" t="s">
        <v>757</v>
      </c>
    </row>
    <row r="9" spans="1:7">
      <c r="C9" t="s">
        <v>760</v>
      </c>
      <c r="D9" t="s">
        <v>761</v>
      </c>
      <c r="E9" t="s">
        <v>760</v>
      </c>
    </row>
    <row r="10" spans="1:7">
      <c r="C10" t="s">
        <v>762</v>
      </c>
      <c r="D10" t="s">
        <v>763</v>
      </c>
      <c r="E10" t="s">
        <v>762</v>
      </c>
    </row>
    <row r="11" spans="1:7">
      <c r="C11" t="s">
        <v>764</v>
      </c>
      <c r="D11" t="s">
        <v>752</v>
      </c>
      <c r="E11" t="s">
        <v>751</v>
      </c>
    </row>
    <row r="12" spans="1:7">
      <c r="C12" t="s">
        <v>765</v>
      </c>
      <c r="D12" t="s">
        <v>766</v>
      </c>
      <c r="E12" t="s">
        <v>767</v>
      </c>
    </row>
    <row r="13" spans="1:7">
      <c r="C13" t="s">
        <v>768</v>
      </c>
      <c r="D13" t="s">
        <v>748</v>
      </c>
      <c r="E13" t="s">
        <v>749</v>
      </c>
    </row>
    <row r="14" spans="1:7">
      <c r="C14" t="s">
        <v>769</v>
      </c>
      <c r="D14" t="s">
        <v>766</v>
      </c>
      <c r="E14" t="s">
        <v>767</v>
      </c>
    </row>
    <row r="15" spans="1:7">
      <c r="C15" t="s">
        <v>770</v>
      </c>
      <c r="D15" t="s">
        <v>771</v>
      </c>
      <c r="E15" t="s">
        <v>770</v>
      </c>
    </row>
    <row r="16" spans="1:7">
      <c r="C16" t="s">
        <v>772</v>
      </c>
      <c r="D16" t="s">
        <v>773</v>
      </c>
      <c r="E16" t="s">
        <v>772</v>
      </c>
    </row>
    <row r="17" spans="3:5">
      <c r="C17" t="s">
        <v>774</v>
      </c>
      <c r="D17" t="s">
        <v>775</v>
      </c>
      <c r="E17" t="s">
        <v>776</v>
      </c>
    </row>
    <row r="18" spans="3:5">
      <c r="C18" t="s">
        <v>777</v>
      </c>
      <c r="D18" t="s">
        <v>778</v>
      </c>
      <c r="E18" t="s">
        <v>779</v>
      </c>
    </row>
    <row r="19" spans="3:5">
      <c r="C19" t="s">
        <v>780</v>
      </c>
      <c r="D19" t="s">
        <v>781</v>
      </c>
      <c r="E19" t="s">
        <v>780</v>
      </c>
    </row>
    <row r="20" spans="3:5">
      <c r="C20" t="s">
        <v>782</v>
      </c>
      <c r="D20" t="s">
        <v>783</v>
      </c>
      <c r="E20" t="s">
        <v>784</v>
      </c>
    </row>
    <row r="21" spans="3:5">
      <c r="C21" t="s">
        <v>785</v>
      </c>
      <c r="D21" t="s">
        <v>775</v>
      </c>
      <c r="E21" t="s">
        <v>776</v>
      </c>
    </row>
    <row r="22" spans="3:5">
      <c r="C22" t="s">
        <v>786</v>
      </c>
      <c r="D22" t="s">
        <v>787</v>
      </c>
      <c r="E22" t="s">
        <v>786</v>
      </c>
    </row>
    <row r="23" spans="3:5">
      <c r="C23" t="s">
        <v>788</v>
      </c>
      <c r="D23" t="s">
        <v>787</v>
      </c>
      <c r="E23" t="s">
        <v>786</v>
      </c>
    </row>
    <row r="24" spans="3:5">
      <c r="C24" t="s">
        <v>789</v>
      </c>
      <c r="D24" t="s">
        <v>790</v>
      </c>
      <c r="E24" t="s">
        <v>791</v>
      </c>
    </row>
    <row r="25" spans="3:5">
      <c r="C25" t="s">
        <v>792</v>
      </c>
      <c r="D25" t="s">
        <v>775</v>
      </c>
      <c r="E25" t="s">
        <v>776</v>
      </c>
    </row>
    <row r="26" spans="3:5">
      <c r="C26" t="s">
        <v>793</v>
      </c>
      <c r="D26" t="s">
        <v>787</v>
      </c>
      <c r="E26" t="s">
        <v>786</v>
      </c>
    </row>
    <row r="27" spans="3:5">
      <c r="C27" t="s">
        <v>794</v>
      </c>
      <c r="D27" t="s">
        <v>795</v>
      </c>
      <c r="E27" t="s">
        <v>796</v>
      </c>
    </row>
  </sheetData>
  <pageMargins left="0.7" right="0.7" top="0.75" bottom="0.75" header="0.3" footer="0.3"/>
  <headerFooter>
    <oddFooter>&amp;L_x000D_&amp;1#&amp;"Calibri"&amp;8&amp;K000000 Classified Confidential - Only for 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B5329B2B02E74491992C708C19DE8C" ma:contentTypeVersion="16" ma:contentTypeDescription="Create a new document." ma:contentTypeScope="" ma:versionID="d5df64ac343c85c77b3df68795d6055b">
  <xsd:schema xmlns:xsd="http://www.w3.org/2001/XMLSchema" xmlns:xs="http://www.w3.org/2001/XMLSchema" xmlns:p="http://schemas.microsoft.com/office/2006/metadata/properties" xmlns:ns1="http://schemas.microsoft.com/sharepoint/v3" xmlns:ns2="8b782502-fd33-4467-830b-94f14a5977a2" xmlns:ns3="45df6a84-5200-4753-8c8b-6edb56a4bd8e" targetNamespace="http://schemas.microsoft.com/office/2006/metadata/properties" ma:root="true" ma:fieldsID="3abd49dabf9a6dfa79cf9aad70cc1bc1" ns1:_="" ns2:_="" ns3:_="">
    <xsd:import namespace="http://schemas.microsoft.com/sharepoint/v3"/>
    <xsd:import namespace="8b782502-fd33-4467-830b-94f14a5977a2"/>
    <xsd:import namespace="45df6a84-5200-4753-8c8b-6edb56a4bd8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1:_ip_UnifiedCompliancePolicyProperties" minOccurs="0"/>
                <xsd:element ref="ns1:_ip_UnifiedCompliancePolicyUIAction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782502-fd33-4467-830b-94f14a5977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df6a84-5200-4753-8c8b-6edb56a4bd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1A1D45-5A75-4B09-B422-99657A2BD3D5}"/>
</file>

<file path=customXml/itemProps2.xml><?xml version="1.0" encoding="utf-8"?>
<ds:datastoreItem xmlns:ds="http://schemas.openxmlformats.org/officeDocument/2006/customXml" ds:itemID="{75F7EF6F-3318-4499-B7D4-7E98EFDC9870}"/>
</file>

<file path=docMetadata/LabelInfo.xml><?xml version="1.0" encoding="utf-8"?>
<clbl:labelList xmlns:clbl="http://schemas.microsoft.com/office/2020/mipLabelMetadata">
  <clbl:label id="{049dbc74-13ad-4ea5-80a9-ed32155a34dd}" enabled="1" method="Privileged" siteId="{e64eed3b-130b-4001-b50d-f867ed31868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Gelderen, Bas van</dc:creator>
  <cp:keywords/>
  <dc:description/>
  <cp:lastModifiedBy>HAHNE, Kelly</cp:lastModifiedBy>
  <cp:revision/>
  <dcterms:created xsi:type="dcterms:W3CDTF">2021-01-25T09:33:44Z</dcterms:created>
  <dcterms:modified xsi:type="dcterms:W3CDTF">2023-11-30T11:30:48Z</dcterms:modified>
  <cp:category/>
  <cp:contentStatus/>
</cp:coreProperties>
</file>